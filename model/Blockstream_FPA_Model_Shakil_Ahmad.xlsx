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ysha\OneDrive\Desktop\LinkedIn_Challenge\Blockstream_Application\Case_Study\fpa-close-pipeline\model\"/>
    </mc:Choice>
  </mc:AlternateContent>
  <xr:revisionPtr revIDLastSave="0" documentId="13_ncr:1_{88D1402D-938C-4EBB-93F6-22B8CD0E7445}" xr6:coauthVersionLast="47" xr6:coauthVersionMax="47" xr10:uidLastSave="{00000000-0000-0000-0000-000000000000}"/>
  <bookViews>
    <workbookView xWindow="-38520" yWindow="-1980" windowWidth="38640" windowHeight="21120" tabRatio="500" activeTab="1" xr2:uid="{00000000-000D-0000-FFFF-FFFF00000000}"/>
  </bookViews>
  <sheets>
    <sheet name="Read Me" sheetId="1" r:id="rId1"/>
    <sheet name="Inputs" sheetId="2" r:id="rId2"/>
    <sheet name="Forecast" sheetId="3" r:id="rId3"/>
    <sheet name="BvA" sheetId="4" r:id="rId4"/>
    <sheet name="Tie-Out" sheetId="5" r:id="rId5"/>
    <sheet name="GL_Recon" sheetId="6" r:id="rId6"/>
    <sheet name="Alloc_View" sheetId="7" r:id="rId7"/>
    <sheet name="Decision_Log" sheetId="8" r:id="rId8"/>
    <sheet name="Data_Actuals" sheetId="9" r:id="rId9"/>
    <sheet name="Data_Budget" sheetId="10" r:id="rId10"/>
    <sheet name="Data_KPIs" sheetId="11" r:id="rId11"/>
    <sheet name="GL_Detail" sheetId="12" r:id="rId12"/>
    <sheet name="Forecast_Brief" sheetId="13" r:id="rId13"/>
  </sheets>
  <definedNames>
    <definedName name="Base_FY_Operating_Result">Forecast!$H$5</definedName>
    <definedName name="Bear_FY_Operating_Result">Forecast!$H$6</definedName>
    <definedName name="BTC_Price_Input">Inputs!$H$5</definedName>
    <definedName name="Swing">Forecast!$H$7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7" l="1"/>
  <c r="C5" i="7"/>
  <c r="B5" i="7"/>
  <c r="B37" i="6"/>
  <c r="B36" i="6"/>
  <c r="B35" i="6"/>
  <c r="C9" i="6"/>
  <c r="D9" i="6" s="1"/>
  <c r="E9" i="6" s="1"/>
  <c r="B9" i="6"/>
  <c r="C8" i="6"/>
  <c r="B8" i="6"/>
  <c r="D8" i="6" s="1"/>
  <c r="E8" i="6" s="1"/>
  <c r="C7" i="6"/>
  <c r="B7" i="6"/>
  <c r="D6" i="6"/>
  <c r="E6" i="6" s="1"/>
  <c r="C6" i="6"/>
  <c r="B6" i="6"/>
  <c r="C5" i="6"/>
  <c r="B5" i="6"/>
  <c r="D5" i="6" s="1"/>
  <c r="E5" i="6" s="1"/>
  <c r="D9" i="5"/>
  <c r="D8" i="5"/>
  <c r="D7" i="5"/>
  <c r="D6" i="5"/>
  <c r="D5" i="5"/>
  <c r="H36" i="4"/>
  <c r="J36" i="4" s="1"/>
  <c r="K36" i="4" s="1"/>
  <c r="G36" i="4"/>
  <c r="C36" i="4"/>
  <c r="E36" i="4" s="1"/>
  <c r="F36" i="4" s="1"/>
  <c r="B36" i="4"/>
  <c r="D36" i="4" s="1"/>
  <c r="H33" i="4"/>
  <c r="G33" i="4"/>
  <c r="D33" i="4"/>
  <c r="E33" i="4" s="1"/>
  <c r="F33" i="4" s="1"/>
  <c r="C33" i="4"/>
  <c r="B33" i="4"/>
  <c r="K32" i="4"/>
  <c r="J32" i="4"/>
  <c r="I32" i="4"/>
  <c r="H32" i="4"/>
  <c r="G32" i="4"/>
  <c r="C32" i="4"/>
  <c r="B32" i="4"/>
  <c r="D32" i="4" s="1"/>
  <c r="H31" i="4"/>
  <c r="G31" i="4"/>
  <c r="C31" i="4"/>
  <c r="B31" i="4"/>
  <c r="D31" i="4" s="1"/>
  <c r="H30" i="4"/>
  <c r="G30" i="4"/>
  <c r="C30" i="4"/>
  <c r="E30" i="4" s="1"/>
  <c r="F30" i="4" s="1"/>
  <c r="B30" i="4"/>
  <c r="D30" i="4" s="1"/>
  <c r="H29" i="4"/>
  <c r="G29" i="4"/>
  <c r="C29" i="4"/>
  <c r="B29" i="4"/>
  <c r="D29" i="4" s="1"/>
  <c r="H28" i="4"/>
  <c r="G28" i="4"/>
  <c r="E28" i="4"/>
  <c r="F28" i="4" s="1"/>
  <c r="D28" i="4"/>
  <c r="C28" i="4"/>
  <c r="B28" i="4"/>
  <c r="H27" i="4"/>
  <c r="G27" i="4"/>
  <c r="C27" i="4"/>
  <c r="B27" i="4"/>
  <c r="H26" i="4"/>
  <c r="G26" i="4"/>
  <c r="C26" i="4"/>
  <c r="B26" i="4"/>
  <c r="D26" i="4" s="1"/>
  <c r="H25" i="4"/>
  <c r="G25" i="4"/>
  <c r="C25" i="4"/>
  <c r="E25" i="4" s="1"/>
  <c r="F25" i="4" s="1"/>
  <c r="B25" i="4"/>
  <c r="D25" i="4" s="1"/>
  <c r="H24" i="4"/>
  <c r="G24" i="4"/>
  <c r="G34" i="4" s="1"/>
  <c r="C24" i="4"/>
  <c r="C34" i="4" s="1"/>
  <c r="B24" i="4"/>
  <c r="B34" i="4" s="1"/>
  <c r="H21" i="4"/>
  <c r="J21" i="4" s="1"/>
  <c r="K21" i="4" s="1"/>
  <c r="G21" i="4"/>
  <c r="I21" i="4" s="1"/>
  <c r="H17" i="4"/>
  <c r="G17" i="4"/>
  <c r="C17" i="4"/>
  <c r="C21" i="4" s="1"/>
  <c r="B17" i="4"/>
  <c r="H16" i="4"/>
  <c r="H18" i="4" s="1"/>
  <c r="G16" i="4"/>
  <c r="G18" i="4" s="1"/>
  <c r="I18" i="4" s="1"/>
  <c r="H15" i="4"/>
  <c r="G15" i="4"/>
  <c r="D15" i="4"/>
  <c r="E15" i="4" s="1"/>
  <c r="F15" i="4" s="1"/>
  <c r="C15" i="4"/>
  <c r="B15" i="4"/>
  <c r="H14" i="4"/>
  <c r="G14" i="4"/>
  <c r="I14" i="4" s="1"/>
  <c r="D14" i="4"/>
  <c r="E14" i="4" s="1"/>
  <c r="F14" i="4" s="1"/>
  <c r="C14" i="4"/>
  <c r="B14" i="4"/>
  <c r="H13" i="4"/>
  <c r="G13" i="4"/>
  <c r="C13" i="4"/>
  <c r="C16" i="4" s="1"/>
  <c r="B13" i="4"/>
  <c r="B16" i="4" s="1"/>
  <c r="H11" i="4"/>
  <c r="C11" i="4"/>
  <c r="H10" i="4"/>
  <c r="G10" i="4"/>
  <c r="C10" i="4"/>
  <c r="B10" i="4"/>
  <c r="D10" i="4" s="1"/>
  <c r="H9" i="4"/>
  <c r="C9" i="4"/>
  <c r="C20" i="4" s="1"/>
  <c r="B9" i="4"/>
  <c r="D9" i="4" s="1"/>
  <c r="H8" i="4"/>
  <c r="G8" i="4"/>
  <c r="D8" i="4"/>
  <c r="E8" i="4" s="1"/>
  <c r="F8" i="4" s="1"/>
  <c r="C8" i="4"/>
  <c r="B8" i="4"/>
  <c r="H7" i="4"/>
  <c r="G7" i="4"/>
  <c r="I7" i="4" s="1"/>
  <c r="C7" i="4"/>
  <c r="B7" i="4"/>
  <c r="D7" i="4" s="1"/>
  <c r="E7" i="4" s="1"/>
  <c r="F7" i="4" s="1"/>
  <c r="H6" i="4"/>
  <c r="G6" i="4"/>
  <c r="C6" i="4"/>
  <c r="B6" i="4"/>
  <c r="D6" i="4" s="1"/>
  <c r="V40" i="3"/>
  <c r="U40" i="3"/>
  <c r="T40" i="3"/>
  <c r="S40" i="3"/>
  <c r="R40" i="3"/>
  <c r="Q40" i="3"/>
  <c r="M40" i="3"/>
  <c r="L40" i="3"/>
  <c r="K40" i="3"/>
  <c r="J40" i="3"/>
  <c r="I40" i="3"/>
  <c r="H40" i="3"/>
  <c r="G40" i="3"/>
  <c r="F40" i="3"/>
  <c r="E40" i="3"/>
  <c r="D40" i="3"/>
  <c r="C40" i="3"/>
  <c r="B40" i="3"/>
  <c r="N40" i="3" s="1"/>
  <c r="O40" i="3" s="1"/>
  <c r="V37" i="3"/>
  <c r="U37" i="3"/>
  <c r="T37" i="3"/>
  <c r="S37" i="3"/>
  <c r="R37" i="3"/>
  <c r="Q37" i="3"/>
  <c r="P37" i="3"/>
  <c r="W37" i="3" s="1"/>
  <c r="N37" i="3"/>
  <c r="O37" i="3" s="1"/>
  <c r="M37" i="3"/>
  <c r="L37" i="3"/>
  <c r="K37" i="3"/>
  <c r="J37" i="3"/>
  <c r="I37" i="3"/>
  <c r="H37" i="3"/>
  <c r="G37" i="3"/>
  <c r="F37" i="3"/>
  <c r="E37" i="3"/>
  <c r="D37" i="3"/>
  <c r="C37" i="3"/>
  <c r="B37" i="3"/>
  <c r="V36" i="3"/>
  <c r="U36" i="3"/>
  <c r="T36" i="3"/>
  <c r="S36" i="3"/>
  <c r="R36" i="3"/>
  <c r="Q36" i="3"/>
  <c r="P36" i="3"/>
  <c r="W36" i="3" s="1"/>
  <c r="M36" i="3"/>
  <c r="L36" i="3"/>
  <c r="K36" i="3"/>
  <c r="J36" i="3"/>
  <c r="I36" i="3"/>
  <c r="H36" i="3"/>
  <c r="G36" i="3"/>
  <c r="F36" i="3"/>
  <c r="N36" i="3" s="1"/>
  <c r="O36" i="3" s="1"/>
  <c r="E36" i="3"/>
  <c r="D36" i="3"/>
  <c r="C36" i="3"/>
  <c r="B36" i="3"/>
  <c r="V35" i="3"/>
  <c r="U35" i="3"/>
  <c r="T35" i="3"/>
  <c r="S35" i="3"/>
  <c r="R35" i="3"/>
  <c r="Q35" i="3"/>
  <c r="P35" i="3"/>
  <c r="W35" i="3" s="1"/>
  <c r="M35" i="3"/>
  <c r="L35" i="3"/>
  <c r="K35" i="3"/>
  <c r="J35" i="3"/>
  <c r="I35" i="3"/>
  <c r="H35" i="3"/>
  <c r="G35" i="3"/>
  <c r="F35" i="3"/>
  <c r="N35" i="3" s="1"/>
  <c r="O35" i="3" s="1"/>
  <c r="E35" i="3"/>
  <c r="D35" i="3"/>
  <c r="C35" i="3"/>
  <c r="B35" i="3"/>
  <c r="V34" i="3"/>
  <c r="U34" i="3"/>
  <c r="T34" i="3"/>
  <c r="S34" i="3"/>
  <c r="R34" i="3"/>
  <c r="Q34" i="3"/>
  <c r="P34" i="3"/>
  <c r="M34" i="3"/>
  <c r="L34" i="3"/>
  <c r="K34" i="3"/>
  <c r="J34" i="3"/>
  <c r="I34" i="3"/>
  <c r="H34" i="3"/>
  <c r="G34" i="3"/>
  <c r="F34" i="3"/>
  <c r="E34" i="3"/>
  <c r="D34" i="3"/>
  <c r="C34" i="3"/>
  <c r="B34" i="3"/>
  <c r="N34" i="3" s="1"/>
  <c r="O34" i="3" s="1"/>
  <c r="W33" i="3"/>
  <c r="V33" i="3"/>
  <c r="U33" i="3"/>
  <c r="T33" i="3"/>
  <c r="S33" i="3"/>
  <c r="R33" i="3"/>
  <c r="Q33" i="3"/>
  <c r="P33" i="3"/>
  <c r="M33" i="3"/>
  <c r="L33" i="3"/>
  <c r="K33" i="3"/>
  <c r="J33" i="3"/>
  <c r="I33" i="3"/>
  <c r="H33" i="3"/>
  <c r="G33" i="3"/>
  <c r="F33" i="3"/>
  <c r="E33" i="3"/>
  <c r="D33" i="3"/>
  <c r="C33" i="3"/>
  <c r="B33" i="3"/>
  <c r="N33" i="3" s="1"/>
  <c r="O33" i="3" s="1"/>
  <c r="W32" i="3"/>
  <c r="V32" i="3"/>
  <c r="U32" i="3"/>
  <c r="T32" i="3"/>
  <c r="S32" i="3"/>
  <c r="R32" i="3"/>
  <c r="Q32" i="3"/>
  <c r="P32" i="3"/>
  <c r="M32" i="3"/>
  <c r="L32" i="3"/>
  <c r="K32" i="3"/>
  <c r="J32" i="3"/>
  <c r="I32" i="3"/>
  <c r="H32" i="3"/>
  <c r="G32" i="3"/>
  <c r="F32" i="3"/>
  <c r="E32" i="3"/>
  <c r="D32" i="3"/>
  <c r="C32" i="3"/>
  <c r="B32" i="3"/>
  <c r="N32" i="3" s="1"/>
  <c r="O32" i="3" s="1"/>
  <c r="W31" i="3"/>
  <c r="V31" i="3"/>
  <c r="U31" i="3"/>
  <c r="T31" i="3"/>
  <c r="S31" i="3"/>
  <c r="R31" i="3"/>
  <c r="Q31" i="3"/>
  <c r="P31" i="3"/>
  <c r="M31" i="3"/>
  <c r="L31" i="3"/>
  <c r="K31" i="3"/>
  <c r="J31" i="3"/>
  <c r="I31" i="3"/>
  <c r="H31" i="3"/>
  <c r="G31" i="3"/>
  <c r="F31" i="3"/>
  <c r="E31" i="3"/>
  <c r="D31" i="3"/>
  <c r="C31" i="3"/>
  <c r="N31" i="3" s="1"/>
  <c r="O31" i="3" s="1"/>
  <c r="B31" i="3"/>
  <c r="F30" i="3"/>
  <c r="E30" i="3"/>
  <c r="D30" i="3"/>
  <c r="C30" i="3"/>
  <c r="B30" i="3"/>
  <c r="F29" i="3"/>
  <c r="P29" i="3" s="1"/>
  <c r="Q29" i="3" s="1"/>
  <c r="R29" i="3" s="1"/>
  <c r="S29" i="3" s="1"/>
  <c r="T29" i="3" s="1"/>
  <c r="U29" i="3" s="1"/>
  <c r="V29" i="3" s="1"/>
  <c r="E29" i="3"/>
  <c r="D29" i="3"/>
  <c r="C29" i="3"/>
  <c r="B29" i="3"/>
  <c r="F28" i="3"/>
  <c r="E28" i="3"/>
  <c r="E38" i="3" s="1"/>
  <c r="D28" i="3"/>
  <c r="C28" i="3"/>
  <c r="B28" i="3"/>
  <c r="F26" i="3"/>
  <c r="E26" i="3"/>
  <c r="D26" i="3"/>
  <c r="C26" i="3"/>
  <c r="B26" i="3"/>
  <c r="F25" i="3"/>
  <c r="E25" i="3"/>
  <c r="D25" i="3"/>
  <c r="C25" i="3"/>
  <c r="B25" i="3"/>
  <c r="F22" i="3"/>
  <c r="E22" i="3"/>
  <c r="D22" i="3"/>
  <c r="D23" i="3" s="1"/>
  <c r="C22" i="3"/>
  <c r="B22" i="3"/>
  <c r="F21" i="3"/>
  <c r="E21" i="3"/>
  <c r="D21" i="3"/>
  <c r="C21" i="3"/>
  <c r="C23" i="3" s="1"/>
  <c r="B21" i="3"/>
  <c r="F20" i="3"/>
  <c r="E20" i="3"/>
  <c r="D20" i="3"/>
  <c r="C20" i="3"/>
  <c r="B20" i="3"/>
  <c r="E19" i="3"/>
  <c r="D19" i="3"/>
  <c r="F18" i="3"/>
  <c r="E18" i="3"/>
  <c r="D18" i="3"/>
  <c r="C18" i="3"/>
  <c r="C19" i="3" s="1"/>
  <c r="B18" i="3"/>
  <c r="B19" i="3" s="1"/>
  <c r="P17" i="3"/>
  <c r="F17" i="3"/>
  <c r="G17" i="3" s="1"/>
  <c r="H17" i="3" s="1"/>
  <c r="I17" i="3" s="1"/>
  <c r="J17" i="3" s="1"/>
  <c r="K17" i="3" s="1"/>
  <c r="L17" i="3" s="1"/>
  <c r="M17" i="3" s="1"/>
  <c r="E17" i="3"/>
  <c r="D17" i="3"/>
  <c r="C17" i="3"/>
  <c r="B17" i="3"/>
  <c r="F16" i="3"/>
  <c r="F19" i="3" s="1"/>
  <c r="E16" i="3"/>
  <c r="D16" i="3"/>
  <c r="C16" i="3"/>
  <c r="B16" i="3"/>
  <c r="P13" i="3"/>
  <c r="Q13" i="3" s="1"/>
  <c r="H13" i="3"/>
  <c r="I13" i="3" s="1"/>
  <c r="G13" i="3"/>
  <c r="G16" i="3" s="1"/>
  <c r="F13" i="3"/>
  <c r="E13" i="3"/>
  <c r="D13" i="3"/>
  <c r="C13" i="3"/>
  <c r="B13" i="3"/>
  <c r="F12" i="3"/>
  <c r="E12" i="3"/>
  <c r="D12" i="3"/>
  <c r="C12" i="3"/>
  <c r="B12" i="3"/>
  <c r="P11" i="3"/>
  <c r="P40" i="3" s="1"/>
  <c r="W40" i="3" s="1"/>
  <c r="G11" i="3"/>
  <c r="H11" i="3" s="1"/>
  <c r="I11" i="3" s="1"/>
  <c r="J11" i="3" s="1"/>
  <c r="K11" i="3" s="1"/>
  <c r="L11" i="3" s="1"/>
  <c r="M11" i="3" s="1"/>
  <c r="F11" i="3"/>
  <c r="E11" i="3"/>
  <c r="D11" i="3"/>
  <c r="C11" i="3"/>
  <c r="B11" i="3"/>
  <c r="H35" i="2"/>
  <c r="H34" i="2"/>
  <c r="H33" i="2"/>
  <c r="H32" i="2"/>
  <c r="G28" i="2"/>
  <c r="F28" i="2"/>
  <c r="E28" i="2"/>
  <c r="D28" i="2"/>
  <c r="C28" i="2"/>
  <c r="G27" i="2"/>
  <c r="F27" i="2"/>
  <c r="E27" i="2"/>
  <c r="D27" i="2"/>
  <c r="C27" i="2"/>
  <c r="H26" i="2"/>
  <c r="G26" i="2"/>
  <c r="F26" i="2"/>
  <c r="E26" i="2"/>
  <c r="D26" i="2"/>
  <c r="H25" i="2"/>
  <c r="G25" i="2"/>
  <c r="F25" i="2"/>
  <c r="E25" i="2"/>
  <c r="D25" i="2"/>
  <c r="H24" i="2"/>
  <c r="G24" i="2"/>
  <c r="F24" i="2"/>
  <c r="E24" i="2"/>
  <c r="D24" i="2"/>
  <c r="H23" i="2"/>
  <c r="G23" i="2"/>
  <c r="F23" i="2"/>
  <c r="E23" i="2"/>
  <c r="D23" i="2"/>
  <c r="C23" i="2"/>
  <c r="H22" i="2"/>
  <c r="G22" i="2"/>
  <c r="F22" i="2"/>
  <c r="E22" i="2"/>
  <c r="D22" i="2"/>
  <c r="C22" i="2"/>
  <c r="H19" i="2"/>
  <c r="G19" i="2"/>
  <c r="F19" i="2"/>
  <c r="E19" i="2"/>
  <c r="D19" i="2"/>
  <c r="H18" i="2"/>
  <c r="G18" i="2"/>
  <c r="F18" i="2"/>
  <c r="E18" i="2"/>
  <c r="D18" i="2"/>
  <c r="J17" i="2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P12" i="3" s="1"/>
  <c r="G15" i="2"/>
  <c r="F15" i="2"/>
  <c r="E15" i="2"/>
  <c r="D15" i="2"/>
  <c r="H14" i="2"/>
  <c r="G14" i="2"/>
  <c r="F14" i="2"/>
  <c r="E14" i="2"/>
  <c r="D14" i="2"/>
  <c r="H13" i="2"/>
  <c r="G13" i="2"/>
  <c r="F13" i="2"/>
  <c r="E13" i="2"/>
  <c r="D13" i="2"/>
  <c r="C13" i="2"/>
  <c r="H12" i="2"/>
  <c r="G12" i="2"/>
  <c r="F12" i="2"/>
  <c r="E12" i="2"/>
  <c r="D12" i="2"/>
  <c r="C12" i="2"/>
  <c r="G11" i="2"/>
  <c r="F11" i="2"/>
  <c r="E11" i="2"/>
  <c r="D11" i="2"/>
  <c r="G8" i="2"/>
  <c r="F8" i="2"/>
  <c r="E8" i="2"/>
  <c r="D8" i="2"/>
  <c r="H7" i="2"/>
  <c r="G5" i="2"/>
  <c r="F5" i="2"/>
  <c r="E5" i="2"/>
  <c r="D5" i="2"/>
  <c r="C5" i="2"/>
  <c r="J18" i="4" l="1"/>
  <c r="K18" i="4" s="1"/>
  <c r="G18" i="3"/>
  <c r="G25" i="3"/>
  <c r="I16" i="3"/>
  <c r="J13" i="3"/>
  <c r="E26" i="4"/>
  <c r="F26" i="4" s="1"/>
  <c r="E6" i="4"/>
  <c r="F6" i="4" s="1"/>
  <c r="C22" i="4"/>
  <c r="N21" i="3"/>
  <c r="O21" i="3" s="1"/>
  <c r="R13" i="3"/>
  <c r="Q16" i="3"/>
  <c r="J7" i="4"/>
  <c r="K7" i="4" s="1"/>
  <c r="C18" i="4"/>
  <c r="Q11" i="3"/>
  <c r="R11" i="3" s="1"/>
  <c r="S11" i="3" s="1"/>
  <c r="T11" i="3" s="1"/>
  <c r="U11" i="3" s="1"/>
  <c r="V11" i="3" s="1"/>
  <c r="C9" i="5"/>
  <c r="E9" i="5" s="1"/>
  <c r="F9" i="5" s="1"/>
  <c r="D7" i="6"/>
  <c r="E7" i="6" s="1"/>
  <c r="Q17" i="3"/>
  <c r="R17" i="3" s="1"/>
  <c r="S17" i="3" s="1"/>
  <c r="T17" i="3" s="1"/>
  <c r="U17" i="3" s="1"/>
  <c r="V17" i="3" s="1"/>
  <c r="W17" i="3" s="1"/>
  <c r="H34" i="4"/>
  <c r="P30" i="3"/>
  <c r="G30" i="3"/>
  <c r="H30" i="3" s="1"/>
  <c r="I30" i="3" s="1"/>
  <c r="J30" i="3" s="1"/>
  <c r="K30" i="3" s="1"/>
  <c r="L30" i="3" s="1"/>
  <c r="M30" i="3" s="1"/>
  <c r="J26" i="4"/>
  <c r="K26" i="4" s="1"/>
  <c r="E27" i="4"/>
  <c r="F27" i="4" s="1"/>
  <c r="I30" i="4"/>
  <c r="J30" i="4" s="1"/>
  <c r="K30" i="4" s="1"/>
  <c r="C7" i="7"/>
  <c r="B7" i="7"/>
  <c r="D7" i="7" s="1"/>
  <c r="D34" i="4"/>
  <c r="E34" i="4" s="1"/>
  <c r="F34" i="4" s="1"/>
  <c r="P21" i="3"/>
  <c r="D16" i="4"/>
  <c r="E16" i="4" s="1"/>
  <c r="F16" i="4" s="1"/>
  <c r="B18" i="4"/>
  <c r="I16" i="4"/>
  <c r="J16" i="4"/>
  <c r="K16" i="4" s="1"/>
  <c r="D24" i="4"/>
  <c r="N17" i="3"/>
  <c r="O17" i="3" s="1"/>
  <c r="E24" i="4"/>
  <c r="F24" i="4" s="1"/>
  <c r="E31" i="4"/>
  <c r="F31" i="4" s="1"/>
  <c r="F24" i="3"/>
  <c r="F27" i="3" s="1"/>
  <c r="F39" i="3" s="1"/>
  <c r="F41" i="3" s="1"/>
  <c r="B21" i="4"/>
  <c r="D21" i="4" s="1"/>
  <c r="E21" i="4" s="1"/>
  <c r="F21" i="4" s="1"/>
  <c r="D17" i="4"/>
  <c r="E17" i="4" s="1"/>
  <c r="F17" i="4" s="1"/>
  <c r="I34" i="4"/>
  <c r="H16" i="3"/>
  <c r="B24" i="3"/>
  <c r="C38" i="3"/>
  <c r="C8" i="5"/>
  <c r="E8" i="5" s="1"/>
  <c r="F8" i="5" s="1"/>
  <c r="I36" i="4"/>
  <c r="I28" i="4"/>
  <c r="J28" i="4" s="1"/>
  <c r="K28" i="4" s="1"/>
  <c r="P20" i="3"/>
  <c r="Q12" i="3"/>
  <c r="G12" i="3"/>
  <c r="B23" i="3"/>
  <c r="W29" i="3"/>
  <c r="J14" i="4"/>
  <c r="K14" i="4" s="1"/>
  <c r="B20" i="4"/>
  <c r="D38" i="3"/>
  <c r="E10" i="4"/>
  <c r="F10" i="4" s="1"/>
  <c r="E29" i="4"/>
  <c r="F29" i="4" s="1"/>
  <c r="C24" i="3"/>
  <c r="C27" i="3" s="1"/>
  <c r="E32" i="4"/>
  <c r="F32" i="4" s="1"/>
  <c r="G22" i="3"/>
  <c r="H22" i="3" s="1"/>
  <c r="I22" i="3" s="1"/>
  <c r="J22" i="3" s="1"/>
  <c r="K22" i="3" s="1"/>
  <c r="L22" i="3" s="1"/>
  <c r="M22" i="3" s="1"/>
  <c r="P22" i="3"/>
  <c r="E9" i="4"/>
  <c r="F9" i="4" s="1"/>
  <c r="J10" i="4"/>
  <c r="K10" i="4" s="1"/>
  <c r="J8" i="4"/>
  <c r="K8" i="4" s="1"/>
  <c r="B38" i="3"/>
  <c r="B11" i="4"/>
  <c r="I26" i="4"/>
  <c r="P16" i="3"/>
  <c r="E23" i="3"/>
  <c r="G21" i="3"/>
  <c r="H21" i="3" s="1"/>
  <c r="I21" i="3" s="1"/>
  <c r="J21" i="3" s="1"/>
  <c r="K21" i="3" s="1"/>
  <c r="L21" i="3" s="1"/>
  <c r="M21" i="3" s="1"/>
  <c r="G29" i="3"/>
  <c r="H29" i="3" s="1"/>
  <c r="I29" i="3" s="1"/>
  <c r="J29" i="3" s="1"/>
  <c r="K29" i="3" s="1"/>
  <c r="L29" i="3" s="1"/>
  <c r="M29" i="3" s="1"/>
  <c r="G9" i="4"/>
  <c r="I24" i="4"/>
  <c r="J24" i="4" s="1"/>
  <c r="K24" i="4" s="1"/>
  <c r="D24" i="3"/>
  <c r="D27" i="3" s="1"/>
  <c r="D39" i="3" s="1"/>
  <c r="D41" i="3" s="1"/>
  <c r="E24" i="3"/>
  <c r="E27" i="3" s="1"/>
  <c r="E39" i="3" s="1"/>
  <c r="E41" i="3" s="1"/>
  <c r="D13" i="4"/>
  <c r="E13" i="4"/>
  <c r="F13" i="4" s="1"/>
  <c r="J15" i="4"/>
  <c r="K15" i="4" s="1"/>
  <c r="H20" i="4"/>
  <c r="P28" i="3"/>
  <c r="J17" i="4"/>
  <c r="K17" i="4" s="1"/>
  <c r="D27" i="4"/>
  <c r="G28" i="3"/>
  <c r="F38" i="3"/>
  <c r="F23" i="3"/>
  <c r="W34" i="3"/>
  <c r="I6" i="4"/>
  <c r="J6" i="4" s="1"/>
  <c r="K6" i="4" s="1"/>
  <c r="I8" i="4"/>
  <c r="I10" i="4"/>
  <c r="I15" i="4"/>
  <c r="I17" i="4"/>
  <c r="I25" i="4"/>
  <c r="J25" i="4" s="1"/>
  <c r="K25" i="4" s="1"/>
  <c r="I27" i="4"/>
  <c r="J27" i="4" s="1"/>
  <c r="K27" i="4" s="1"/>
  <c r="I29" i="4"/>
  <c r="J29" i="4" s="1"/>
  <c r="K29" i="4" s="1"/>
  <c r="I31" i="4"/>
  <c r="J31" i="4" s="1"/>
  <c r="K31" i="4" s="1"/>
  <c r="I33" i="4"/>
  <c r="J33" i="4" s="1"/>
  <c r="K33" i="4" s="1"/>
  <c r="I13" i="4"/>
  <c r="J13" i="4" s="1"/>
  <c r="K13" i="4" s="1"/>
  <c r="Q28" i="3" l="1"/>
  <c r="P38" i="3"/>
  <c r="N30" i="3"/>
  <c r="O30" i="3" s="1"/>
  <c r="P23" i="3"/>
  <c r="P26" i="3" s="1"/>
  <c r="H22" i="4"/>
  <c r="C39" i="3"/>
  <c r="C41" i="3" s="1"/>
  <c r="J34" i="4"/>
  <c r="K34" i="4" s="1"/>
  <c r="N29" i="3"/>
  <c r="O29" i="3" s="1"/>
  <c r="E18" i="4"/>
  <c r="F18" i="4" s="1"/>
  <c r="Q21" i="3"/>
  <c r="R21" i="3" s="1"/>
  <c r="S21" i="3" s="1"/>
  <c r="T21" i="3" s="1"/>
  <c r="U21" i="3" s="1"/>
  <c r="V21" i="3" s="1"/>
  <c r="Q22" i="3"/>
  <c r="R22" i="3" s="1"/>
  <c r="S22" i="3" s="1"/>
  <c r="T22" i="3" s="1"/>
  <c r="U22" i="3" s="1"/>
  <c r="V22" i="3" s="1"/>
  <c r="G20" i="4"/>
  <c r="I9" i="4"/>
  <c r="J9" i="4" s="1"/>
  <c r="K9" i="4" s="1"/>
  <c r="G11" i="4"/>
  <c r="I11" i="4" s="1"/>
  <c r="J11" i="4" s="1"/>
  <c r="K11" i="4" s="1"/>
  <c r="I18" i="3"/>
  <c r="I19" i="3"/>
  <c r="I25" i="3"/>
  <c r="N22" i="3"/>
  <c r="O22" i="3" s="1"/>
  <c r="B27" i="3"/>
  <c r="H18" i="3"/>
  <c r="H19" i="3"/>
  <c r="H25" i="3"/>
  <c r="G19" i="3"/>
  <c r="Q18" i="3"/>
  <c r="Q25" i="3"/>
  <c r="Q19" i="3"/>
  <c r="Q30" i="3"/>
  <c r="R30" i="3" s="1"/>
  <c r="S30" i="3" s="1"/>
  <c r="T30" i="3" s="1"/>
  <c r="U30" i="3" s="1"/>
  <c r="V30" i="3" s="1"/>
  <c r="K13" i="3"/>
  <c r="J16" i="3"/>
  <c r="S13" i="3"/>
  <c r="R16" i="3"/>
  <c r="C35" i="4"/>
  <c r="B22" i="4"/>
  <c r="C5" i="5"/>
  <c r="E5" i="5" s="1"/>
  <c r="F5" i="5" s="1"/>
  <c r="D20" i="4"/>
  <c r="E20" i="4" s="1"/>
  <c r="F20" i="4" s="1"/>
  <c r="P18" i="3"/>
  <c r="P19" i="3" s="1"/>
  <c r="P24" i="3" s="1"/>
  <c r="P27" i="3" s="1"/>
  <c r="P39" i="3" s="1"/>
  <c r="P41" i="3" s="1"/>
  <c r="P25" i="3"/>
  <c r="G38" i="3"/>
  <c r="H28" i="3"/>
  <c r="G20" i="3"/>
  <c r="H12" i="3"/>
  <c r="B6" i="7"/>
  <c r="D11" i="4"/>
  <c r="E11" i="4" s="1"/>
  <c r="F11" i="4" s="1"/>
  <c r="Q20" i="3"/>
  <c r="Q23" i="3" s="1"/>
  <c r="Q26" i="3" s="1"/>
  <c r="R12" i="3"/>
  <c r="C6" i="7"/>
  <c r="C8" i="7" s="1"/>
  <c r="D18" i="4"/>
  <c r="L13" i="3" l="1"/>
  <c r="K16" i="3"/>
  <c r="W30" i="3"/>
  <c r="B8" i="7"/>
  <c r="D6" i="7"/>
  <c r="D8" i="7" s="1"/>
  <c r="W22" i="3"/>
  <c r="W21" i="3"/>
  <c r="H38" i="3"/>
  <c r="I28" i="3"/>
  <c r="H35" i="4"/>
  <c r="Q24" i="3"/>
  <c r="Q27" i="3" s="1"/>
  <c r="B35" i="4"/>
  <c r="D22" i="4"/>
  <c r="E22" i="4" s="1"/>
  <c r="F22" i="4" s="1"/>
  <c r="C37" i="4"/>
  <c r="R18" i="3"/>
  <c r="R25" i="3" s="1"/>
  <c r="I20" i="4"/>
  <c r="J20" i="4" s="1"/>
  <c r="K20" i="4" s="1"/>
  <c r="G22" i="4"/>
  <c r="G23" i="3"/>
  <c r="G24" i="3"/>
  <c r="B39" i="3"/>
  <c r="S16" i="3"/>
  <c r="T13" i="3"/>
  <c r="R28" i="3"/>
  <c r="Q38" i="3"/>
  <c r="I12" i="3"/>
  <c r="H20" i="3"/>
  <c r="H23" i="3" s="1"/>
  <c r="H26" i="3" s="1"/>
  <c r="S12" i="3"/>
  <c r="R20" i="3"/>
  <c r="R23" i="3" s="1"/>
  <c r="R26" i="3" s="1"/>
  <c r="J18" i="3"/>
  <c r="J19" i="3"/>
  <c r="J25" i="3"/>
  <c r="I20" i="3" l="1"/>
  <c r="I23" i="3" s="1"/>
  <c r="J12" i="3"/>
  <c r="Q39" i="3"/>
  <c r="Q41" i="3" s="1"/>
  <c r="K18" i="3"/>
  <c r="K19" i="3" s="1"/>
  <c r="S28" i="3"/>
  <c r="R38" i="3"/>
  <c r="H37" i="4"/>
  <c r="H24" i="3"/>
  <c r="H27" i="3" s="1"/>
  <c r="H39" i="3" s="1"/>
  <c r="H41" i="3" s="1"/>
  <c r="G27" i="3"/>
  <c r="I22" i="4"/>
  <c r="J22" i="4" s="1"/>
  <c r="K22" i="4" s="1"/>
  <c r="G35" i="4"/>
  <c r="M13" i="3"/>
  <c r="M16" i="3" s="1"/>
  <c r="L16" i="3"/>
  <c r="T16" i="3"/>
  <c r="U13" i="3"/>
  <c r="I38" i="3"/>
  <c r="J28" i="3"/>
  <c r="G26" i="3"/>
  <c r="R19" i="3"/>
  <c r="R24" i="3" s="1"/>
  <c r="R27" i="3" s="1"/>
  <c r="R39" i="3" s="1"/>
  <c r="R41" i="3" s="1"/>
  <c r="C6" i="5"/>
  <c r="E6" i="5" s="1"/>
  <c r="F6" i="5" s="1"/>
  <c r="D35" i="4"/>
  <c r="E35" i="4" s="1"/>
  <c r="F35" i="4" s="1"/>
  <c r="B37" i="4"/>
  <c r="D37" i="4" s="1"/>
  <c r="E37" i="4" s="1"/>
  <c r="F37" i="4" s="1"/>
  <c r="B34" i="6"/>
  <c r="B38" i="6" s="1"/>
  <c r="S25" i="3"/>
  <c r="S18" i="3"/>
  <c r="S19" i="3"/>
  <c r="B41" i="3"/>
  <c r="T12" i="3"/>
  <c r="S20" i="3"/>
  <c r="G39" i="3" l="1"/>
  <c r="K25" i="3"/>
  <c r="S38" i="3"/>
  <c r="T28" i="3"/>
  <c r="S23" i="3"/>
  <c r="S26" i="3" s="1"/>
  <c r="J38" i="3"/>
  <c r="K28" i="3"/>
  <c r="K12" i="3"/>
  <c r="J20" i="3"/>
  <c r="V13" i="3"/>
  <c r="V16" i="3" s="1"/>
  <c r="U16" i="3"/>
  <c r="M19" i="3"/>
  <c r="M18" i="3"/>
  <c r="U12" i="3"/>
  <c r="T20" i="3"/>
  <c r="T23" i="3" s="1"/>
  <c r="T26" i="3" s="1"/>
  <c r="I26" i="3"/>
  <c r="I24" i="3"/>
  <c r="T18" i="3"/>
  <c r="T25" i="3" s="1"/>
  <c r="T19" i="3"/>
  <c r="L18" i="3"/>
  <c r="L19" i="3" s="1"/>
  <c r="N16" i="3"/>
  <c r="O16" i="3" s="1"/>
  <c r="I35" i="4"/>
  <c r="J35" i="4" s="1"/>
  <c r="K35" i="4" s="1"/>
  <c r="G37" i="4"/>
  <c r="I37" i="4" s="1"/>
  <c r="J37" i="4" s="1"/>
  <c r="K37" i="4" s="1"/>
  <c r="C7" i="5"/>
  <c r="E7" i="5" s="1"/>
  <c r="F7" i="5" s="1"/>
  <c r="T24" i="3" l="1"/>
  <c r="S24" i="3"/>
  <c r="S27" i="3" s="1"/>
  <c r="S39" i="3" s="1"/>
  <c r="S41" i="3" s="1"/>
  <c r="N19" i="3"/>
  <c r="J23" i="3"/>
  <c r="K20" i="3"/>
  <c r="K23" i="3" s="1"/>
  <c r="L12" i="3"/>
  <c r="T38" i="3"/>
  <c r="U28" i="3"/>
  <c r="V12" i="3"/>
  <c r="V20" i="3" s="1"/>
  <c r="V23" i="3" s="1"/>
  <c r="V26" i="3" s="1"/>
  <c r="U20" i="3"/>
  <c r="K38" i="3"/>
  <c r="L28" i="3"/>
  <c r="L25" i="3"/>
  <c r="T27" i="3"/>
  <c r="T39" i="3" s="1"/>
  <c r="T41" i="3" s="1"/>
  <c r="I27" i="3"/>
  <c r="N18" i="3"/>
  <c r="O18" i="3" s="1"/>
  <c r="U18" i="3"/>
  <c r="U25" i="3" s="1"/>
  <c r="U19" i="3"/>
  <c r="V18" i="3"/>
  <c r="V25" i="3" s="1"/>
  <c r="W25" i="3" s="1"/>
  <c r="V19" i="3"/>
  <c r="W18" i="3"/>
  <c r="G41" i="3"/>
  <c r="W16" i="3"/>
  <c r="W19" i="3" s="1"/>
  <c r="M25" i="3"/>
  <c r="N25" i="3" s="1"/>
  <c r="O25" i="3" s="1"/>
  <c r="I39" i="3" l="1"/>
  <c r="M28" i="3"/>
  <c r="L38" i="3"/>
  <c r="V28" i="3"/>
  <c r="V38" i="3" s="1"/>
  <c r="U38" i="3"/>
  <c r="U23" i="3"/>
  <c r="U26" i="3" s="1"/>
  <c r="W26" i="3" s="1"/>
  <c r="W20" i="3"/>
  <c r="W23" i="3" s="1"/>
  <c r="W24" i="3" s="1"/>
  <c r="W27" i="3" s="1"/>
  <c r="W39" i="3" s="1"/>
  <c r="K26" i="3"/>
  <c r="K24" i="3"/>
  <c r="K27" i="3" s="1"/>
  <c r="K39" i="3" s="1"/>
  <c r="K41" i="3" s="1"/>
  <c r="J26" i="3"/>
  <c r="J24" i="3"/>
  <c r="O19" i="3"/>
  <c r="W28" i="3"/>
  <c r="W38" i="3" s="1"/>
  <c r="L20" i="3"/>
  <c r="L23" i="3" s="1"/>
  <c r="M12" i="3"/>
  <c r="M20" i="3" s="1"/>
  <c r="V24" i="3"/>
  <c r="V27" i="3" s="1"/>
  <c r="H6" i="3" l="1"/>
  <c r="W41" i="3"/>
  <c r="I8" i="3" s="1"/>
  <c r="M23" i="3"/>
  <c r="N20" i="3"/>
  <c r="O20" i="3" s="1"/>
  <c r="L26" i="3"/>
  <c r="L24" i="3"/>
  <c r="L27" i="3" s="1"/>
  <c r="L39" i="3" s="1"/>
  <c r="L41" i="3" s="1"/>
  <c r="J27" i="3"/>
  <c r="M38" i="3"/>
  <c r="N38" i="3" s="1"/>
  <c r="N28" i="3"/>
  <c r="O28" i="3" s="1"/>
  <c r="I41" i="3"/>
  <c r="U24" i="3"/>
  <c r="U27" i="3" s="1"/>
  <c r="U39" i="3" s="1"/>
  <c r="U41" i="3" s="1"/>
  <c r="V39" i="3"/>
  <c r="V41" i="3" s="1"/>
  <c r="J39" i="3" l="1"/>
  <c r="O38" i="3"/>
  <c r="M26" i="3"/>
  <c r="N26" i="3" s="1"/>
  <c r="O26" i="3" s="1"/>
  <c r="M24" i="3"/>
  <c r="N23" i="3"/>
  <c r="O23" i="3" s="1"/>
  <c r="M27" i="3" l="1"/>
  <c r="N24" i="3"/>
  <c r="O24" i="3" s="1"/>
  <c r="J41" i="3"/>
  <c r="M39" i="3" l="1"/>
  <c r="N27" i="3"/>
  <c r="O27" i="3" s="1"/>
  <c r="M41" i="3" l="1"/>
  <c r="N41" i="3" s="1"/>
  <c r="N39" i="3"/>
  <c r="H5" i="3" l="1"/>
  <c r="O39" i="3"/>
  <c r="D10" i="5"/>
  <c r="O41" i="3"/>
  <c r="H8" i="3"/>
  <c r="H7" i="3" l="1"/>
  <c r="C10" i="5"/>
  <c r="E10" i="5" s="1"/>
  <c r="F1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27" authorId="0" shapeId="0" xr:uid="{00000000-0006-0000-0100-000001000000}">
      <text>
        <r>
          <rPr>
            <sz val="10"/>
            <rFont val="Arial"/>
            <family val="2"/>
          </rPr>
          <t>Shakil Ahmad:
Assumption: hold the clean May reported run-rate flat. GL total is $510K including a $30K duplicate; reported May P&amp;L is already the correct $480K. | As-of: 2026-05-31</t>
        </r>
      </text>
    </comment>
  </commentList>
</comments>
</file>

<file path=xl/sharedStrings.xml><?xml version="1.0" encoding="utf-8"?>
<sst xmlns="http://schemas.openxmlformats.org/spreadsheetml/2006/main" count="914" uniqueCount="618">
  <si>
    <t>Blockstream Finance - FP&amp;A Case Study Model</t>
  </si>
  <si>
    <t>Prepared by Shakil Ahmad, CFA · Data: fully synthetic case pack ("today" = June 9, 2026, May close done) · All $ in $000s</t>
  </si>
  <si>
    <t>START HERE</t>
  </si>
  <si>
    <t>Flip Inputs!H5 (BTC price, yellow) - Liquid fee revenue, the treasury mark, and all three scenario cells (Forecast!H5:H7: Base FY Operating Result, Bear FY Operating Result, Swing) recalculate. No BTC price is hardcoded anywhere else; the bear case derives from the same cell via the Inputs!H6 shock.</t>
  </si>
  <si>
    <t>TAB GUIDE</t>
  </si>
  <si>
    <t>Inputs</t>
  </si>
  <si>
    <t>Every assumption and driver. Blue-on-yellow = judgment inputs; black = derived from Jan–May actuals by live formula; green = links to source data.</t>
  </si>
  <si>
    <t>BvA</t>
  </si>
  <si>
    <t>Segment P&amp;L (contribution margin) to operating profit; May + YTD actual vs budget with $/% variances and materiality flags (≥$50K and ≥10%). Treasury mark shown below operating profit as a reconciling line, with the why.</t>
  </si>
  <si>
    <t>Forecast</t>
  </si>
  <si>
    <t>Driver-based Jun–Dec, base and bear side by side from the single BTC cell. FY columns splice Jan–May actuals with the forecast.</t>
  </si>
  <si>
    <t>GL_Recon</t>
  </si>
  <si>
    <t>Five GL accounts reconciled to the reported P&amp;L: one footing break (duplicate invoice), two accounts that foot but are wrong (cut-off, rev-rec), two confirmed clean. Correcting entries, impacts, controls, corrected-May view.</t>
  </si>
  <si>
    <t>Tie-Out</t>
  </si>
  <si>
    <t>Six reviewer-relevant figures: model cell vs independent recompute from raw data. All rows must read TIE.</t>
  </si>
  <si>
    <t>Alloc_View</t>
  </si>
  <si>
    <t>Rejected-alternative sensitivity: full OpEx allocation by headcount.</t>
  </si>
  <si>
    <t>Decision_Log</t>
  </si>
  <si>
    <t>Five modeling decisions with driving cells and priced alternatives.</t>
  </si>
  <si>
    <t>Data_* / GL_Detail</t>
  </si>
  <si>
    <t>Untouched replicas of the source pack - the only value-typed tabs. Everything else is formulas.</t>
  </si>
  <si>
    <t>COLOR LEGEND</t>
  </si>
  <si>
    <t>Blue = hardcoded input · Black = formula · Green = cross-sheet link · Yellow fill = key inputs / labeled scenario cells</t>
  </si>
  <si>
    <t>SIGN CONVENTION</t>
  </si>
  <si>
    <t>Costs shown as positive magnitudes and subtracted in formulas; BTC treasury mark signed (negative = mark-down), as in the source pack.</t>
  </si>
  <si>
    <t>Inputs &amp; Drivers - every forecast assumption lives here</t>
  </si>
  <si>
    <t>Blue on yellow = judgment inputs (edit these). Black = derived from Jan–May actuals by formula. Green = link to source data. All $ in $000s.</t>
  </si>
  <si>
    <t>BTC PRICE SCENARIO - THE cell (flows to Liquid fees, treasury mark, base &amp; bear cases)</t>
  </si>
  <si>
    <t>Jan</t>
  </si>
  <si>
    <t>Feb</t>
  </si>
  <si>
    <t>Mar</t>
  </si>
  <si>
    <t>Apr</t>
  </si>
  <si>
    <t>May</t>
  </si>
  <si>
    <t>Assumptions</t>
  </si>
  <si>
    <t>Historical metric / support</t>
  </si>
  <si>
    <t>BTC price assumption, Jun–Dec 2026 (flat path)</t>
  </si>
  <si>
    <t>Base = May 2026 monthly average (Data_KPIs). Flip this cell - everything recalculates.</t>
  </si>
  <si>
    <t>BTC price ($)</t>
  </si>
  <si>
    <t>Bear-case shock to the BTC assumption</t>
  </si>
  <si>
    <t>Bear price is derived: base cell × (1 + shock). No second BTC price is typed anywhere.</t>
  </si>
  <si>
    <t>Scenario assumption - no historical series</t>
  </si>
  <si>
    <t>Bear-case BTC price (derived)</t>
  </si>
  <si>
    <t>Derived scenario output - no historical series</t>
  </si>
  <si>
    <t>Corporate BTC treasury holdings (BTC)</t>
  </si>
  <si>
    <t>n/a</t>
  </si>
  <si>
    <t>Implied from actuals: monthly MTM ÷ Δ avg BTC price ranges 70–91 BTC (see derivation, C8:G8 on this row). 80 used; stated assumption.</t>
  </si>
  <si>
    <t>Implied BTC held from MTM / change in BTC price</t>
  </si>
  <si>
    <t>REVENUE DRIVERS (derived from Jan–May actuals unless blue)</t>
  </si>
  <si>
    <t>Jade units - monthly growth Jun–Dec</t>
  </si>
  <si>
    <t>Judgment: hold May run-rate (6,190 units) flat. Units fell 20% Jan→May vs a rising budget; the budget ramp is not evidence-based. Decision Log #4.</t>
  </si>
  <si>
    <t>Jade units - monthly growth</t>
  </si>
  <si>
    <t>Jade ASP ($)</t>
  </si>
  <si>
    <t>Constant $80 all five months.</t>
  </si>
  <si>
    <t>Store &amp; Accessories as % of Jade revenue</t>
  </si>
  <si>
    <t>Stable ~15.3% of Jade revenue Jan–May; attach-rate relationship.</t>
  </si>
  <si>
    <t>Store revenue as % of Jade revenue</t>
  </si>
  <si>
    <t>App &amp; Subscriptions - monthly growth</t>
  </si>
  <si>
    <t>CAGR of actuals Jan→May (~3.4%/mo).</t>
  </si>
  <si>
    <t>App revenue - monthly growth</t>
  </si>
  <si>
    <t>Liquid pegged-in BTC - monthly growth</t>
  </si>
  <si>
    <t>CAGR of pegged-in BTC Jan→May (~3.4%/mo).</t>
  </si>
  <si>
    <t>Liquid fee yield on TVL (monthly)</t>
  </si>
  <si>
    <t>KEY INSIGHT: fees ÷ (pegged-in BTC × avg price) is nearly constant ~0.096%/mo across all 5 months (min–max on row 17). Fee revenue is TVL × yield - this is how the BTC cell reaches an operating line.</t>
  </si>
  <si>
    <t>Liquid fee yield on TVL</t>
  </si>
  <si>
    <t xml:space="preserve">    yield stability check (min | max of 5 months)</t>
  </si>
  <si>
    <t>Monthly values supporting min / max check</t>
  </si>
  <si>
    <t>AMP (SaaS) - monthly $ adds</t>
  </si>
  <si>
    <t>Linear +$32.5K/mo Jan–May. Reported basis; see GL_Recon for the $132K rev-rec adjustment.</t>
  </si>
  <si>
    <t>AMP revenue - monthly dollar adds ($000s)</t>
  </si>
  <si>
    <t>Enterprise Infra &amp; Licensing - monthly $ adds</t>
  </si>
  <si>
    <t>Linear +$16.3K/mo Jan–May.</t>
  </si>
  <si>
    <t>Enterprise Infra revenue - monthly dollar adds ($000s)</t>
  </si>
  <si>
    <t>COST DRIVERS</t>
  </si>
  <si>
    <t>Hardware &amp; Fulfillment COGS, % of (Jade + Store) revenue</t>
  </si>
  <si>
    <t>Average of 5 monthly ratios ~61%; excludes App subs (software margin).</t>
  </si>
  <si>
    <t>Hardware COGS as % of Jade + Store revenue</t>
  </si>
  <si>
    <t>Hosting &amp; Infrastructure COGS, % of Enterprise revenue</t>
  </si>
  <si>
    <t>Average of 5 monthly ratios ~14%.</t>
  </si>
  <si>
    <t>Hosting COGS as % of Enterprise revenue</t>
  </si>
  <si>
    <t>Personnel R&amp;D - monthly $ adds</t>
  </si>
  <si>
    <t>Headcount-driven linear trend (+$31.3K/mo).</t>
  </si>
  <si>
    <t>Personnel R&amp;D - monthly dollar adds ($000s)</t>
  </si>
  <si>
    <t>Personnel S&amp;M - monthly $ adds</t>
  </si>
  <si>
    <t>+$12.5K/mo.</t>
  </si>
  <si>
    <t>Personnel S&amp;M - monthly dollar adds ($000s)</t>
  </si>
  <si>
    <t>Personnel G&amp;A - monthly $ adds</t>
  </si>
  <si>
    <t>+$7.5K/mo.</t>
  </si>
  <si>
    <t>Personnel G&amp;A - monthly dollar adds ($000s)</t>
  </si>
  <si>
    <t>Cloud &amp; Infrastructure - monthly run-rate Jun–Dec</t>
  </si>
  <si>
    <t>Judgment: hold the clean May run-rate ($480K) flat. GL total is $510K because of a $30K duplicate, but the reported P&amp;L already excludes it; do not subtract it twice. This remains well above the $305K June budget and assumes containment, not remediation. Decision Log #5.</t>
  </si>
  <si>
    <t>Cloud &amp; Infrastructure actual run-rate ($000s)</t>
  </si>
  <si>
    <t>All other OpEx lines, Jun–Dec</t>
  </si>
  <si>
    <t>Budget values</t>
  </si>
  <si>
    <t>Actuals track budget closely ex-Cloud; budget encodes real seasonality (e.g., $150K Bitcoin 2026 conference in June - the prepaid identified in GL_Recon releases there).</t>
  </si>
  <si>
    <t>Other OpEx actual total ($000s)</t>
  </si>
  <si>
    <t>BTC HOLDINGS DERIVATION (support for the 80 BTC input)</t>
  </si>
  <si>
    <t>Implied BTC held = monthly MTM ÷ Δ monthly avg price:</t>
  </si>
  <si>
    <t>Feb 2026</t>
  </si>
  <si>
    <t>Range ≈ 70–91 BTC. Position size is not disclosed in the pack; 80 BTC is the midpoint assumption and is a single input cell.</t>
  </si>
  <si>
    <t>Mar 2026</t>
  </si>
  <si>
    <t>Apr 2026</t>
  </si>
  <si>
    <t>May 2026</t>
  </si>
  <si>
    <t>Materiality threshold for variance flags: greater of ±$50K and ±10% of budget (stated on BvA tab).</t>
  </si>
  <si>
    <t>Materiality % component</t>
  </si>
  <si>
    <t>Driver-Based Forecast Jun–Dec 2026 - Base &amp; Bear side by side ($000s)</t>
  </si>
  <si>
    <t>Both cases are driven ONLY by Inputs!H5 (BTC price) - bear applies the Inputs!H6 shock to that same cell. No BTC price is hardcoded on this tab. Flip Inputs!H5 and every number below recalculates. Bear isolates the BTC-price factor: operating volumes held at base to show pure price transmission (fees + treasury); volume elasticity would compound it further.</t>
  </si>
  <si>
    <t>SCENARIO SUMMARY (labeled cells the reviewer asked for)</t>
  </si>
  <si>
    <t>Base FY Operating Result</t>
  </si>
  <si>
    <t>FY2026 operating profit before treasury mark: Jan–May actuals + Jun–Dec forecast. Treasury-inclusive views on rows below the P&amp;L.</t>
  </si>
  <si>
    <t>Bear FY Operating Result</t>
  </si>
  <si>
    <t>Swing (Base − Bear)</t>
  </si>
  <si>
    <t>Memo: FY Net incl. treasury - Base | Bear</t>
  </si>
  <si>
    <t>DRIVER GRID</t>
  </si>
  <si>
    <t>Driver</t>
  </si>
  <si>
    <t>Jan Actual</t>
  </si>
  <si>
    <t>Feb Actual</t>
  </si>
  <si>
    <t>Mar Actual</t>
  </si>
  <si>
    <t>Apr Actual</t>
  </si>
  <si>
    <t>May Actual</t>
  </si>
  <si>
    <t>Jun (Base)</t>
  </si>
  <si>
    <t>Jul (Base)</t>
  </si>
  <si>
    <t>Aug (Base)</t>
  </si>
  <si>
    <t>Sep (Base)</t>
  </si>
  <si>
    <t>Oct (Base)</t>
  </si>
  <si>
    <t>Nov (Base)</t>
  </si>
  <si>
    <t>Dec (Base)</t>
  </si>
  <si>
    <t>FY Base</t>
  </si>
  <si>
    <t>FY Check</t>
  </si>
  <si>
    <t>Jun (Bear)</t>
  </si>
  <si>
    <t>Jul (Bear)</t>
  </si>
  <si>
    <t>Aug (Bear)</t>
  </si>
  <si>
    <t>Sep (Bear)</t>
  </si>
  <si>
    <t>Oct (Bear)</t>
  </si>
  <si>
    <t>Nov (Bear)</t>
  </si>
  <si>
    <t>Dec (Bear)</t>
  </si>
  <si>
    <t>FY Bear</t>
  </si>
  <si>
    <t>Liquid pegged-in BTC</t>
  </si>
  <si>
    <t>Jade units</t>
  </si>
  <si>
    <t>P&amp;L ($000s)</t>
  </si>
  <si>
    <t>Jade Hardware Wallet</t>
  </si>
  <si>
    <t>Blockstream App &amp; Subscriptions</t>
  </si>
  <si>
    <t>Blockstream Store &amp; Accessories</t>
  </si>
  <si>
    <t>A&amp;H Revenue</t>
  </si>
  <si>
    <t>Liquid Network Fees</t>
  </si>
  <si>
    <t>Blockstream AMP (SaaS)</t>
  </si>
  <si>
    <t>Enterprise Infrastructure &amp; Licensing</t>
  </si>
  <si>
    <t>Enterprise Revenue</t>
  </si>
  <si>
    <t>Total Revenue</t>
  </si>
  <si>
    <t>Hardware &amp; Fulfillment COGS</t>
  </si>
  <si>
    <t>Hosting &amp; Infrastructure COGS</t>
  </si>
  <si>
    <t>Gross Profit</t>
  </si>
  <si>
    <t>Personnel - R&amp;D / Engineering</t>
  </si>
  <si>
    <t>Personnel - Sales &amp; Marketing</t>
  </si>
  <si>
    <t>Personnel - G&amp;A</t>
  </si>
  <si>
    <t>Cloud &amp; Infrastructure</t>
  </si>
  <si>
    <t>Marketing Programs</t>
  </si>
  <si>
    <t>Travel &amp; Events</t>
  </si>
  <si>
    <t>Professional Services</t>
  </si>
  <si>
    <t>Software &amp; Tools</t>
  </si>
  <si>
    <t>Facilities</t>
  </si>
  <si>
    <t>Other OpEx</t>
  </si>
  <si>
    <t>Total OpEx</t>
  </si>
  <si>
    <t>Operating Profit (before treasury)</t>
  </si>
  <si>
    <t>BTC Treasury Mark-to-Market</t>
  </si>
  <si>
    <t>Net Result incl. treasury</t>
  </si>
  <si>
    <t>Treasury mark: recognized in June as (scenario price − May avg price) × holdings, then held flat (flat price path ⇒ no further marks). Jan–May actual marks are included in the FY columns.</t>
  </si>
  <si>
    <t>Segment P&amp;L - May 2026 and YTD (Jan–May) Actual vs Budget ($000s)</t>
  </si>
  <si>
    <t>Materiality flag = |$ var| ≥ $50K AND |% var| ≥ 10% of budget (Inputs!H37:H38). Costs: actual &lt; budget is favorable. Corporate OpEx is deliberately NOT allocated to segments - segments are shown at contribution margin (what their leaders control); see Alloc_View for the fully-allocated sensitivity. Decision Log #1.</t>
  </si>
  <si>
    <t>Line ($000s)</t>
  </si>
  <si>
    <t>May Budget</t>
  </si>
  <si>
    <t>$ Var</t>
  </si>
  <si>
    <t>% Var</t>
  </si>
  <si>
    <t>Assessment</t>
  </si>
  <si>
    <t>YTD Actual</t>
  </si>
  <si>
    <t>YTD Budget</t>
  </si>
  <si>
    <t>APP &amp; HARDWARE</t>
  </si>
  <si>
    <t xml:space="preserve">    Jade Hardware Wallet</t>
  </si>
  <si>
    <t xml:space="preserve">    Blockstream App &amp; Subscriptions</t>
  </si>
  <si>
    <t xml:space="preserve">    Blockstream Store &amp; Accessories</t>
  </si>
  <si>
    <t xml:space="preserve">    Hardware &amp; Fulfillment</t>
  </si>
  <si>
    <t>A&amp;H Contribution Margin</t>
  </si>
  <si>
    <t>ENTERPRISE SAAS</t>
  </si>
  <si>
    <t xml:space="preserve">    Liquid Network Fees</t>
  </si>
  <si>
    <t xml:space="preserve">    Blockstream AMP (SaaS)</t>
  </si>
  <si>
    <t xml:space="preserve">    Enterprise Infrastructure &amp; Licensing</t>
  </si>
  <si>
    <t xml:space="preserve">    Hosting &amp; Infrastructure</t>
  </si>
  <si>
    <t>Enterprise Contribution Margin</t>
  </si>
  <si>
    <t>TOTAL COMPANY</t>
  </si>
  <si>
    <t>Total COGS</t>
  </si>
  <si>
    <t>CORPORATE OPEX (unallocated)</t>
  </si>
  <si>
    <t xml:space="preserve">    Personnel - R&amp;D / Engineering</t>
  </si>
  <si>
    <t xml:space="preserve">    Personnel - Sales &amp; Marketing</t>
  </si>
  <si>
    <t xml:space="preserve">    Personnel - G&amp;A</t>
  </si>
  <si>
    <t xml:space="preserve">    Cloud &amp; Infrastructure</t>
  </si>
  <si>
    <t xml:space="preserve">    Marketing Programs</t>
  </si>
  <si>
    <t xml:space="preserve">    Travel &amp; Events</t>
  </si>
  <si>
    <t xml:space="preserve">    Professional Services</t>
  </si>
  <si>
    <t xml:space="preserve">    Software &amp; Tools</t>
  </si>
  <si>
    <t xml:space="preserve">    Facilities</t>
  </si>
  <si>
    <t xml:space="preserve">    Other OpEx</t>
  </si>
  <si>
    <t xml:space="preserve">    BTC Treasury Mark-to-Market</t>
  </si>
  <si>
    <t>Net Result incl. treasury mark</t>
  </si>
  <si>
    <t>Why the treasury mark cannot sit inside a % variance read: it is budgeted at $0 every month by design, so any actual mark produces an undefined (÷0) or meaningless percentage - and in up-months it flatters the total. It is therefore shown as a separate reconciling line BELOW operating profit; operating variances above are clean of it.</t>
  </si>
  <si>
    <t>Tie-Out - six reviewer-relevant figures reconciled to exact source cells</t>
  </si>
  <si>
    <t>Column C pulls the figure from the model cell named in column B. Column D recomputes it independently from the raw data tabs. Column F must read TIE on every row before the pack ships. All $000s.</t>
  </si>
  <si>
    <t>Figure</t>
  </si>
  <si>
    <t>Model cell</t>
  </si>
  <si>
    <t>Model value</t>
  </si>
  <si>
    <t>Independent recompute from raw data</t>
  </si>
  <si>
    <t>Delta</t>
  </si>
  <si>
    <t>Status</t>
  </si>
  <si>
    <t>May 2026 Total Revenue</t>
  </si>
  <si>
    <t>BvA!B20</t>
  </si>
  <si>
    <t>May 2026 Operating Profit (before treasury)</t>
  </si>
  <si>
    <t>BvA!B35</t>
  </si>
  <si>
    <t>YTD (Jan–May) Operating Profit (before treasury)</t>
  </si>
  <si>
    <t>BvA!G35</t>
  </si>
  <si>
    <t>YTD BTC Treasury Mark-to-Market</t>
  </si>
  <si>
    <t>BvA!G36</t>
  </si>
  <si>
    <t>May GL total - Blockstream AMP (SaaS) vs reported</t>
  </si>
  <si>
    <t>GL_Recon!B7</t>
  </si>
  <si>
    <t>Base FY Operating Result (scenario cell)</t>
  </si>
  <si>
    <t>Forecast!H5</t>
  </si>
  <si>
    <t>Row 5 note: the AMP GL total ties to the reported P&amp;L - completeness is proven - while GL_Recon Issue 3 shows $132K of it is recognized in the wrong period. Footing and correctness are different tests; this pack runs both.</t>
  </si>
  <si>
    <t>Bear FY Operating Result and Swing (Forecast!H6, Forecast!H7) derive from the same driver grid as row 10 and recalculate on any flip of Inputs!H5 / H6.</t>
  </si>
  <si>
    <t>NetSuite GL → Reported May P&amp;L Reconciliation (the human-in-the-loop control)</t>
  </si>
  <si>
    <t>Five accounts. Step 1: foot the GL to the reported figure. Step 2: read the support (dates, terms, invoice refs, counterparties) - two accounts foot cleanly but contain entries recognized in the wrong period or incorrectly. All $000s. GL totals are live SUMIFS on GL_Detail; reported figures are links to Data_Actuals.</t>
  </si>
  <si>
    <t>Account</t>
  </si>
  <si>
    <t>GL total (SUMIFS)</t>
  </si>
  <si>
    <t>Reported May P&amp;L</t>
  </si>
  <si>
    <t>Footing diff</t>
  </si>
  <si>
    <t>Foots?</t>
  </si>
  <si>
    <t>Substance finding after reading support</t>
  </si>
  <si>
    <t>DOES NOT FOOT - duplicate invoice (JE-1147). See Issue 1.</t>
  </si>
  <si>
    <t>Foots, but $150K belongs in June - cut-off error (JE-1203). See Issue 2.</t>
  </si>
  <si>
    <t>Foots, but $132K recognized before the service period - rev-rec error (JE-1305). See Issue 3.</t>
  </si>
  <si>
    <t>CLEAN. Four entries incl. a proper May audit accrual (ACCR-AUDIT-MAY); recruiting fee correctly expensed. No exception.</t>
  </si>
  <si>
    <t>CLEAN. Five routine monthly SaaS invoices, all dated and described as May service periods. No exception.</t>
  </si>
  <si>
    <t>THE THREE ISSUES - evidence, correcting entry, impact, control</t>
  </si>
  <si>
    <t>Issue 1 - Duplicate invoice: Cloud &amp; Infrastructure, $30K</t>
  </si>
  <si>
    <t>What is wrong</t>
  </si>
  <si>
    <t>JE-1147 (28-May) duplicates JE-1119 (12-May): identical vendor (MongoDB Atlas), identical invoice ref INV-MDB-771, identical amount ($30K), identical description. The GL foots to $510K vs $480K reported - the reporting layer already excludes it, so the ledger, not the P&amp;L, is wrong.</t>
  </si>
  <si>
    <t>Evidence</t>
  </si>
  <si>
    <t>Same Invoice_Ref appearing twice in the export (GL_Detail rows 9 &amp; 12 of the Cloud block); same amount and description; dates 16 days apart.</t>
  </si>
  <si>
    <t>Correcting entry</t>
  </si>
  <si>
    <t>Dr Accounts Payable 30 / Cr Cloud &amp; Infrastructure expense 30 - reverses the second posting. Balance-sheet offset: AP (the duplicate payable must be voided before payment run).</t>
  </si>
  <si>
    <t>Impact on reported May</t>
  </si>
  <si>
    <t>None - reported $480K is correct. The control failure is in the ledger and would have become a duplicate PAYMENT.</t>
  </si>
  <si>
    <t>Control that should have caught it</t>
  </si>
  <si>
    <t>Duplicate-invoice detection on (vendor, invoice number, amount) at AP entry; three-way match before payment.</t>
  </si>
  <si>
    <t>Issue 2 - Cut-off / prepaid: Travel &amp; Events, $150K</t>
  </si>
  <si>
    <t>JE-1203 expenses the $150K Bitcoin 2026 Conference sponsorship in May, but the description states the event runs Jun 10–12, 2026. A cost of a future event is a prepaid asset until the service period. The account foots ($175K = $175K) - only reading the support catches it.</t>
  </si>
  <si>
    <t>JE-1203 description: "event dates Jun 10-12 2026"; the FY26 budget itself places $150K of T&amp;E in June, confirming intended period.</t>
  </si>
  <si>
    <t>Dr Prepaid Expenses 150 / Cr Travel &amp; Events 150 in May; releases as Dr T&amp;E / Cr Prepaid 150 in June. Balance-sheet offset: Prepaid Expenses.</t>
  </si>
  <si>
    <t>May T&amp;E falls $175K → $25K; May operating profit improves +$150K. The scary May T&amp;E variance ($175K actual vs $80K budget) largely disappears - it was a timing error, not overspend.</t>
  </si>
  <si>
    <t>Control</t>
  </si>
  <si>
    <t>Cut-off review at close: match expense recognition to service dates for events/sponsorships; prepaid checklist for invoices referencing future dates.</t>
  </si>
  <si>
    <t>Issue 3 - Revenue recognition: Blockstream AMP (SaaS), $132K</t>
  </si>
  <si>
    <t>JE-1305 books the full $132K annual AMP license (Meridian Assets, term Jun 2026 – May 2027, billed upfront) as May revenue. The service period has not begun; under ASC 606 the performance obligation is satisfied ratably over the term. The account foots ($1,380K = $1,380K) - again only the support reveals it.</t>
  </si>
  <si>
    <t>JE-1305 description: "12-mo term Jun 2026 to May 2027 - billed upfront"; invoice INV-AMP-5567 dated 22-May.</t>
  </si>
  <si>
    <t>Dr AMP Revenue 132 / Cr Deferred Revenue 132 in May; recognize $11K/mo Jun 2026 – May 2027. Balance-sheet offset: Deferred Revenue (contract liability).</t>
  </si>
  <si>
    <t>AMP revenue $1,380K → $1,248K; May revenue and operating profit each fall $132K. Corrected AMP is now $142K BELOW its $1,390K budget - the reported "on-plan" AMP month was manufactured by early recognition. Jun–Dec forecast gains $11K/mo (+$77K) of ratable release.</t>
  </si>
  <si>
    <t>Revenue-recognition review of all upfront-billed annual contracts at close; deferral schedule reconciled to billing system; contract-term field mandatory on revenue JEs.</t>
  </si>
  <si>
    <t>CORRECTED MAY VIEW (net effect of Issues 1–3 on reported results)</t>
  </si>
  <si>
    <t>Reported May operating profit (BvA!B35)</t>
  </si>
  <si>
    <t>Issue 2: remove June conference cost from May OpEx</t>
  </si>
  <si>
    <t>Issue 3: defer unearned AMP revenue</t>
  </si>
  <si>
    <t>Issue 1: no P&amp;L impact (ledger-side fix)</t>
  </si>
  <si>
    <t>Corrected May operating profit</t>
  </si>
  <si>
    <t>Net: corrected May operating profit is $18K better than reported, but the composition changes - revenue is $132K worse (a real AMP miss) and OpEx $150K better (timing). Composition matters more than the net.</t>
  </si>
  <si>
    <t>Sensitivity: May segment view with Corporate OpEx fully allocated by direct headcount</t>
  </si>
  <si>
    <t>Shown to make the rejected alternative concrete (Decision Log #1). Allocation key: direct segment headcount (Data_KPIs May: A&amp;H 67, Enterprise 110); Shared/G&amp;A headcount excluded from the key. Every allocated dollar is a policy choice, not a performance fact - which is why the primary BvA view stops at contribution margin.</t>
  </si>
  <si>
    <t>App &amp; Hardware</t>
  </si>
  <si>
    <t>Enterprise SaaS</t>
  </si>
  <si>
    <t>Total</t>
  </si>
  <si>
    <t>Headcount share of allocation key</t>
  </si>
  <si>
    <t>May contribution margin (BvA)</t>
  </si>
  <si>
    <t>Allocated Corporate OpEx</t>
  </si>
  <si>
    <t>May segment operating profit (fully allocated)</t>
  </si>
  <si>
    <t>Read: under full allocation BOTH segments show operating losses in May - an artifact of pushing ~$1.7M of R&amp;D (much of it long-horizon protocol work) onto current-period segment P&amp;Ls. It answers "what does each segment cost all-in" but not "which segment is performing," which is the monthly-reporting question.</t>
  </si>
  <si>
    <t>Decision Log (5 rows) - modeling choices, driving cell, rejected alternative with its number</t>
  </si>
  <si>
    <t>#</t>
  </si>
  <si>
    <t>Decision</t>
  </si>
  <si>
    <t>Tab!Cell that drove it</t>
  </si>
  <si>
    <t>Alternative rejected - with its own number</t>
  </si>
  <si>
    <t>Why</t>
  </si>
  <si>
    <t>1</t>
  </si>
  <si>
    <t>Corporate OpEx NOT allocated to segments; primary view = segment contribution margin, one company operating profit.</t>
  </si>
  <si>
    <t>BvA!B34 (Corporate OpEx, unallocated)</t>
  </si>
  <si>
    <t>Full headcount-based allocation: May operating loss of approximately $1,193K for App &amp; Hardware and $463K for Enterprise SaaS (Alloc_View!B8:C8).</t>
  </si>
  <si>
    <t>Allocation keys are policy, not performance; contribution margin is what segment leaders control. Sensitivity kept on Alloc_View so the all-in cost question stays answerable.</t>
  </si>
  <si>
    <t>2</t>
  </si>
  <si>
    <t>Liquid fee revenue forecast = pegged-in BTC × BTC price × derived fee yield (~0.096%/mo of TVL).</t>
  </si>
  <si>
    <t>Inputs!H16 (yield, derived from 5 months of actuals)</t>
  </si>
  <si>
    <t>Budget growth path: FY26 Liquid fees of $5,430 (sum of Data_Budget row 8) regardless of BTC price.</t>
  </si>
  <si>
    <t>Actual yield is nearly constant across Jan–May (Inputs!C17 min/max), so fees are structurally TVL-linked; a BTC-insensitive fee forecast contradicts five months of evidence and severs the BTC cell from the operating P&amp;L.</t>
  </si>
  <si>
    <t>3</t>
  </si>
  <si>
    <t>Single flat BTC price path from one input cell; treasury mark recognized once in June; bear = same cell × (1 + shock).</t>
  </si>
  <si>
    <t>Inputs!H5 (price), Inputs!H6 (shock), Inputs!H8 (80 BTC holdings)</t>
  </si>
  <si>
    <t>Monthly price-path table (12 cells): adds ±$0 of information to FY operating result while breaking the one-cell-flip requirement.</t>
  </si>
  <si>
    <t>The brief requires one labeled input cell that the reviewer can flip; a flat path keeps every downstream formula honest and auditable. Holdings inferred from actual MTM ÷ Δprice (70–91 BTC, Inputs rows 32–35).</t>
  </si>
  <si>
    <t>4</t>
  </si>
  <si>
    <t>Jade base case = May run-rate (6,190 units) held flat, not the budget ramp.</t>
  </si>
  <si>
    <t>Inputs!H11 (0% monthly growth)</t>
  </si>
  <si>
    <t>Budget path: Jun–Dec Jade revenue of $5,120 (sum of Data_Budget row 5, Jun–Dec) - ~$1,655 above the flat-run-rate forecast.</t>
  </si>
  <si>
    <t>Units fell 20% Jan→May against a rising budget while consumer CAC rose 38→47 (+24%); ASP is pinned at $80. Forecasting the budget ramp would restate hope as a plan.</t>
  </si>
  <si>
    <t>5</t>
  </si>
  <si>
    <t>Cloud &amp; Infrastructure OpEx held at the clean reported May run-rate of $480K/mo, not budget.</t>
  </si>
  <si>
    <t>Inputs!H27</t>
  </si>
  <si>
    <t>Budget path: $2,235K total Jun–Dec (Data_Budget row 17) - $1,125K lower than a flat $480K monthly run-rate.</t>
  </si>
  <si>
    <t>The GL totals $510K only because of a $30K duplicate; the reported P&amp;L already excludes it and correctly shows $480K. The line is still 60% over May budget and has risen sharply since January, so flat-at-run-rate is already an optimistic containment assumption.</t>
  </si>
  <si>
    <t>Data_Actuals - source data as provided in the data pack (values, $000s unless stated)</t>
  </si>
  <si>
    <t>Untouched replica of "P&amp;L Actuals". All downstream tabs reference these cells - no retyped numbers.</t>
  </si>
  <si>
    <t>Segment</t>
  </si>
  <si>
    <t>Category</t>
  </si>
  <si>
    <t>Line_Item</t>
  </si>
  <si>
    <t>Jan_2026</t>
  </si>
  <si>
    <t>Feb_2026</t>
  </si>
  <si>
    <t>Mar_2026</t>
  </si>
  <si>
    <t>Apr_2026</t>
  </si>
  <si>
    <t>May_2026</t>
  </si>
  <si>
    <t>Revenue</t>
  </si>
  <si>
    <t>Corporate</t>
  </si>
  <si>
    <t>Other Income</t>
  </si>
  <si>
    <t>COGS</t>
  </si>
  <si>
    <t>Hardware &amp; Fulfillment</t>
  </si>
  <si>
    <t>Hosting &amp; Infrastructure</t>
  </si>
  <si>
    <t>OpEx</t>
  </si>
  <si>
    <t>Data_Budget - source data as provided in the data pack (values, $000s unless stated)</t>
  </si>
  <si>
    <t>Untouched replica of "P&amp;L Budget". BTC Treasury Mark-to-Market budgeted at 0 by design.</t>
  </si>
  <si>
    <t>Jun_2026</t>
  </si>
  <si>
    <t>Jul_2026</t>
  </si>
  <si>
    <t>Aug_2026</t>
  </si>
  <si>
    <t>Sep_2026</t>
  </si>
  <si>
    <t>Oct_2026</t>
  </si>
  <si>
    <t>Nov_2026</t>
  </si>
  <si>
    <t>Dec_2026</t>
  </si>
  <si>
    <t>Data_KPIs - source data as provided in the data pack (values, $000s unless stated)</t>
  </si>
  <si>
    <t>Untouched replica of "KPIs".</t>
  </si>
  <si>
    <t>Metric</t>
  </si>
  <si>
    <t>Unit</t>
  </si>
  <si>
    <t>BTC Spot Price (avg)</t>
  </si>
  <si>
    <t>$</t>
  </si>
  <si>
    <t>Jade Units Sold</t>
  </si>
  <si>
    <t>Jade ASP</t>
  </si>
  <si>
    <t>App Active Wallets</t>
  </si>
  <si>
    <t>000s</t>
  </si>
  <si>
    <t>Liquid Network BTC Pegged-In</t>
  </si>
  <si>
    <t>BTC</t>
  </si>
  <si>
    <t>AMP Active Issuers</t>
  </si>
  <si>
    <t>AMP Assets Under Tokenization</t>
  </si>
  <si>
    <t>$M</t>
  </si>
  <si>
    <t>Enterprise ARR</t>
  </si>
  <si>
    <t>Net Revenue Retention</t>
  </si>
  <si>
    <t>%</t>
  </si>
  <si>
    <t>New Enterprise Logos</t>
  </si>
  <si>
    <t>Total Headcount</t>
  </si>
  <si>
    <t>Headcount - App &amp; Hardware</t>
  </si>
  <si>
    <t>Headcount - Enterprise</t>
  </si>
  <si>
    <t>Headcount - Shared/G&amp;A</t>
  </si>
  <si>
    <t>Customer Acquisition Cost - Consumer</t>
  </si>
  <si>
    <t>GL_Detail - source data as provided in the data pack (values, $000s unless stated)</t>
  </si>
  <si>
    <t>Untouched replica of "NetSuite GL Detail" - five accounts, May 2026, journal-entry level.</t>
  </si>
  <si>
    <t>Date</t>
  </si>
  <si>
    <t>JE_ID</t>
  </si>
  <si>
    <t>Counterparty</t>
  </si>
  <si>
    <t>Invoice_Ref</t>
  </si>
  <si>
    <t>Description</t>
  </si>
  <si>
    <t>Amount_000s</t>
  </si>
  <si>
    <t>2026-05-05</t>
  </si>
  <si>
    <t>JE-1101</t>
  </si>
  <si>
    <t>Google Cloud</t>
  </si>
  <si>
    <t>INV-GCP-0453</t>
  </si>
  <si>
    <t>GCP compute &amp; storage - May 2026 usage</t>
  </si>
  <si>
    <t>2026-05-06</t>
  </si>
  <si>
    <t>JE-1108</t>
  </si>
  <si>
    <t>Amazon Web Services</t>
  </si>
  <si>
    <t>INV-AWS-2261</t>
  </si>
  <si>
    <t>AWS - Liquid node infrastructure - May 2026</t>
  </si>
  <si>
    <t>2026-05-07</t>
  </si>
  <si>
    <t>JE-1112</t>
  </si>
  <si>
    <t>Cloudflare</t>
  </si>
  <si>
    <t>INV-CF-0912</t>
  </si>
  <si>
    <t>CDN &amp; DDoS protection - May 2026</t>
  </si>
  <si>
    <t>2026-05-09</t>
  </si>
  <si>
    <t>JE-1115</t>
  </si>
  <si>
    <t>Datadog</t>
  </si>
  <si>
    <t>INV-DD-3390</t>
  </si>
  <si>
    <t>Observability &amp; monitoring - May 2026</t>
  </si>
  <si>
    <t>2026-05-12</t>
  </si>
  <si>
    <t>JE-1119</t>
  </si>
  <si>
    <t>MongoDB Atlas</t>
  </si>
  <si>
    <t>INV-MDB-771</t>
  </si>
  <si>
    <t>Managed database cluster - May 2026</t>
  </si>
  <si>
    <t>2026-05-14</t>
  </si>
  <si>
    <t>JE-1122</t>
  </si>
  <si>
    <t>INV-GCP-0461</t>
  </si>
  <si>
    <t>GKE support plan renewal - May 2026</t>
  </si>
  <si>
    <t>2026-05-20</t>
  </si>
  <si>
    <t>JE-1124</t>
  </si>
  <si>
    <t>INV-GCP-0466</t>
  </si>
  <si>
    <t>Bandwidth &amp; egress - May 2026</t>
  </si>
  <si>
    <t>2026-05-28</t>
  </si>
  <si>
    <t>JE-1147</t>
  </si>
  <si>
    <t>2026-05-04</t>
  </si>
  <si>
    <t>JE-1201</t>
  </si>
  <si>
    <t>Various</t>
  </si>
  <si>
    <t>EXP-OFFSITE-Q2</t>
  </si>
  <si>
    <t>Team offsite lodging &amp; airfare - May 2026</t>
  </si>
  <si>
    <t>2026-05-18</t>
  </si>
  <si>
    <t>JE-1202</t>
  </si>
  <si>
    <t>EXP-SALES-MAY</t>
  </si>
  <si>
    <t>Sales team travel - May 2026</t>
  </si>
  <si>
    <t>2026-05-03</t>
  </si>
  <si>
    <t>JE-1203</t>
  </si>
  <si>
    <t>Bitcoin Conference LLC</t>
  </si>
  <si>
    <t>INV-BTC26-SPON</t>
  </si>
  <si>
    <t>Bitcoin 2026 Conference sponsorship - event dates Jun 10-12 2026</t>
  </si>
  <si>
    <t>2026-05-31</t>
  </si>
  <si>
    <t>JE-1300</t>
  </si>
  <si>
    <t>Multiple issuers</t>
  </si>
  <si>
    <t>BATCH-AMP-MAY</t>
  </si>
  <si>
    <t>AMP monthly platform subscriptions - May 2026</t>
  </si>
  <si>
    <t>JE-1302</t>
  </si>
  <si>
    <t>BATCH-AMP-USAGE</t>
  </si>
  <si>
    <t>AMP usage &amp; overage fees - May 2026</t>
  </si>
  <si>
    <t>2026-05-22</t>
  </si>
  <si>
    <t>JE-1305</t>
  </si>
  <si>
    <t>Meridian Assets</t>
  </si>
  <si>
    <t>INV-AMP-5567</t>
  </si>
  <si>
    <t>Annual AMP platform license - 12-mo term Jun 2026 to May 2027 - billed upfront</t>
  </si>
  <si>
    <t>2026-05-10</t>
  </si>
  <si>
    <t>JE-1230</t>
  </si>
  <si>
    <t>Cooley LLP</t>
  </si>
  <si>
    <t>INV-COOL-889</t>
  </si>
  <si>
    <t>Legal - corporate &amp; commercial - May 2026</t>
  </si>
  <si>
    <t>JE-1231</t>
  </si>
  <si>
    <t>Grant Thornton</t>
  </si>
  <si>
    <t>ACCR-AUDIT-MAY</t>
  </si>
  <si>
    <t>Audit fee accrual - May 2026</t>
  </si>
  <si>
    <t>2026-05-15</t>
  </si>
  <si>
    <t>JE-1233</t>
  </si>
  <si>
    <t>KPMG</t>
  </si>
  <si>
    <t>INV-KPMG-142</t>
  </si>
  <si>
    <t>Tax advisory - May 2026</t>
  </si>
  <si>
    <t>2026-05-19</t>
  </si>
  <si>
    <t>JE-1235</t>
  </si>
  <si>
    <t>Riviera Partners</t>
  </si>
  <si>
    <t>INV-REC-556</t>
  </si>
  <si>
    <t>Retained search - engineering leadership</t>
  </si>
  <si>
    <t>2026-05-02</t>
  </si>
  <si>
    <t>JE-1240</t>
  </si>
  <si>
    <t>GitLab</t>
  </si>
  <si>
    <t>INV-GL-7781</t>
  </si>
  <si>
    <t>Developer seats - May 2026</t>
  </si>
  <si>
    <t>JE-1241</t>
  </si>
  <si>
    <t>Atlassian</t>
  </si>
  <si>
    <t>INV-ATL-3320</t>
  </si>
  <si>
    <t>Jira &amp; Confluence - May 2026</t>
  </si>
  <si>
    <t>JE-1242</t>
  </si>
  <si>
    <t>Figma</t>
  </si>
  <si>
    <t>INV-FIG-1190</t>
  </si>
  <si>
    <t>Design seats - May 2026</t>
  </si>
  <si>
    <t>JE-1243</t>
  </si>
  <si>
    <t>Salesforce</t>
  </si>
  <si>
    <t>INV-SF-9902</t>
  </si>
  <si>
    <t>CRM - May 2026</t>
  </si>
  <si>
    <t>JE-1244</t>
  </si>
  <si>
    <t>Notion + misc</t>
  </si>
  <si>
    <t>INV-MISC-0501</t>
  </si>
  <si>
    <t>Misc SaaS subscriptions - May 2026</t>
  </si>
  <si>
    <t>Forecast Tab — Row-by-Row Calculation Brief</t>
  </si>
  <si>
    <t>Purpose: explain what every forecast row calculates, the source assumption, and why the method was selected. All P&amp;L values are $000s unless stated.</t>
  </si>
  <si>
    <t>Row</t>
  </si>
  <si>
    <t>Line / Output</t>
  </si>
  <si>
    <t>Calculation logic</t>
  </si>
  <si>
    <t>Key source / driver</t>
  </si>
  <si>
    <t>Underlying case and rationale</t>
  </si>
  <si>
    <t>Base vs Bear</t>
  </si>
  <si>
    <t>Links to FY Base operating profit on Forecast row 39.</t>
  </si>
  <si>
    <t>Forecast!N39</t>
  </si>
  <si>
    <t>Jan–May actual operating result plus Jun–Dec base forecast; excludes treasury mark.</t>
  </si>
  <si>
    <t>Base only</t>
  </si>
  <si>
    <t>Links to FY Bear operating profit on Forecast row 39.</t>
  </si>
  <si>
    <t>Forecast!W39</t>
  </si>
  <si>
    <t>Same operating assumptions as base except BTC price transmission through Liquid fees.</t>
  </si>
  <si>
    <t>Bear only</t>
  </si>
  <si>
    <t>Swing</t>
  </si>
  <si>
    <t>Base FY operating result less Bear FY operating result.</t>
  </si>
  <si>
    <t>Forecast!H5-H6</t>
  </si>
  <si>
    <t>Measures operating exposure to the BTC price shock; treasury is excluded.</t>
  </si>
  <si>
    <t>Scenario delta</t>
  </si>
  <si>
    <t>Net Result incl. Treasury</t>
  </si>
  <si>
    <t>Operating result plus FY treasury mark.</t>
  </si>
  <si>
    <t>Forecast!N41 / W41</t>
  </si>
  <si>
    <t>Memo view because treasury volatility is separate from operating performance.</t>
  </si>
  <si>
    <t>Both cases</t>
  </si>
  <si>
    <t>BTC Price</t>
  </si>
  <si>
    <t>Base holds the input price flat Jun–Dec; Bear applies the -40% shock and holds that price flat.</t>
  </si>
  <si>
    <t>Inputs!H5:H7</t>
  </si>
  <si>
    <t>One-cell scenario design required by the case. Base uses May average BTC price of $108,000; Bear is $64,800.</t>
  </si>
  <si>
    <t>Primary scenario driver</t>
  </si>
  <si>
    <t>Liquid Pegged-In BTC</t>
  </si>
  <si>
    <t>Prior month pegged-in BTC multiplied by 1 + 3.4% monthly growth.</t>
  </si>
  <si>
    <t>Data_KPIs!G9; Inputs!H15</t>
  </si>
  <si>
    <t>Jan–May pegged-in BTC CAGR is approximately 3.4% monthly. Volumes are deliberately held equal in Base and Bear to isolate price sensitivity.</t>
  </si>
  <si>
    <t>Same volume both cases</t>
  </si>
  <si>
    <t>Jade Units</t>
  </si>
  <si>
    <t>May units multiplied by 1 + 0% each month.</t>
  </si>
  <si>
    <t>Data_KPIs!G6; Inputs!H11</t>
  </si>
  <si>
    <t>May run-rate of 6,190 units is held flat because units declined roughly 20% Jan–May and the budget ramp lacked actual support.</t>
  </si>
  <si>
    <t>Same both cases</t>
  </si>
  <si>
    <t>Jade Hardware Wallet Revenue</t>
  </si>
  <si>
    <t>Jade units × $80 ASP ÷ 1,000.</t>
  </si>
  <si>
    <t>Forecast row 13; Inputs!H12</t>
  </si>
  <si>
    <t>ASP stayed at $80 throughout Jan–May; revenue is therefore volume-driven.</t>
  </si>
  <si>
    <t>App &amp; Subscriptions Revenue</t>
  </si>
  <si>
    <t>Prior month revenue × 1 + 3.4% monthly growth.</t>
  </si>
  <si>
    <t>Data_Actuals!H6; Inputs!H14</t>
  </si>
  <si>
    <t>Uses Jan–May actual CAGR, reflecting the consistent monthly subscription growth trend.</t>
  </si>
  <si>
    <t>Store &amp; Accessories Revenue</t>
  </si>
  <si>
    <t>Jade revenue × 15.2% attach-rate.</t>
  </si>
  <si>
    <t>Forecast row 16; Inputs!H13</t>
  </si>
  <si>
    <t>Store revenue remained stable at about 15.2% of Jade revenue, so the model uses a revenue relationship rather than an independent growth rate.</t>
  </si>
  <si>
    <t>App &amp; Hardware Revenue</t>
  </si>
  <si>
    <t>Sum of Jade, App subscriptions, and Store revenue.</t>
  </si>
  <si>
    <t>Forecast rows 16:18</t>
  </si>
  <si>
    <t>Segment revenue subtotal.</t>
  </si>
  <si>
    <t>Pegged-in BTC × BTC price ÷ 1,000 × 0.096% monthly fee yield.</t>
  </si>
  <si>
    <t>Forecast rows 11:12; Inputs!H16</t>
  </si>
  <si>
    <t>Historical fees were highly stable as a percentage of Liquid TVL. This is the operating line directly exposed to the BTC scenario.</t>
  </si>
  <si>
    <t>Lower in Bear due to BTC price</t>
  </si>
  <si>
    <t>Blockstream AMP Revenue</t>
  </si>
  <si>
    <t>Prior month reported revenue plus $32.5K each month.</t>
  </si>
  <si>
    <t>Data_Actuals!H9; Inputs!H18</t>
  </si>
  <si>
    <t>Uses the Jan–May reported linear trend. Review caveat: the separate GL review identified an $11K monthly deferred-revenue release that is not explicitly added here.</t>
  </si>
  <si>
    <t>Prior month revenue plus $16.25K each month.</t>
  </si>
  <si>
    <t>Data_Actuals!H10; Inputs!H19</t>
  </si>
  <si>
    <t>Uses the Jan–May average monthly dollar increase; dollar adds fit the relatively linear history better than a percentage rate.</t>
  </si>
  <si>
    <t>Sum of Liquid fees, AMP, and Enterprise Infrastructure revenue.</t>
  </si>
  <si>
    <t>Forecast rows 20:22</t>
  </si>
  <si>
    <t>Segment revenue subtotal; scenario variance comes entirely from Liquid fees.</t>
  </si>
  <si>
    <t>Different through row 20</t>
  </si>
  <si>
    <t>App &amp; Hardware revenue plus Enterprise revenue.</t>
  </si>
  <si>
    <t>Forecast rows 19 and 23</t>
  </si>
  <si>
    <t>Company revenue subtotal.</t>
  </si>
  <si>
    <t>Different through Liquid fees</t>
  </si>
  <si>
    <t>Jade plus Store revenue × 61.1%.</t>
  </si>
  <si>
    <t>Forecast rows 16 and 18; Inputs!H22</t>
  </si>
  <si>
    <t>Uses the average Jan–May hardware fulfillment cost ratio and excludes high-margin App subscription revenue.</t>
  </si>
  <si>
    <t>Enterprise revenue × 14.0%.</t>
  </si>
  <si>
    <t>Forecast row 23; Inputs!H23</t>
  </si>
  <si>
    <t>Uses the average Jan–May hosting cost ratio. Because it scales with total Enterprise revenue, Bear COGS declines slightly with lower Liquid fees.</t>
  </si>
  <si>
    <t>Lower in Bear</t>
  </si>
  <si>
    <t>Total revenue less Hardware COGS less Hosting COGS.</t>
  </si>
  <si>
    <t>Forecast rows 24:26</t>
  </si>
  <si>
    <t>Standard gross-profit calculation.</t>
  </si>
  <si>
    <t>Personnel — R&amp;D</t>
  </si>
  <si>
    <t>Prior month cost plus $31.25K monthly.</t>
  </si>
  <si>
    <t>Data_Actuals!H14; Inputs!H24</t>
  </si>
  <si>
    <t>Jan–May personnel cost trend is treated as a headcount/compensation-driven linear dollar increase.</t>
  </si>
  <si>
    <t>Personnel — Sales &amp; Marketing</t>
  </si>
  <si>
    <t>Prior month cost plus $12.5K monthly.</t>
  </si>
  <si>
    <t>Data_Actuals!H15; Inputs!H25</t>
  </si>
  <si>
    <t>Continues the Jan–May average monthly dollar increase.</t>
  </si>
  <si>
    <t>Personnel — G&amp;A</t>
  </si>
  <si>
    <t>Prior month cost plus $7.5K monthly.</t>
  </si>
  <si>
    <t>Data_Actuals!H16; Inputs!H26</t>
  </si>
  <si>
    <t>$480K every month.</t>
  </si>
  <si>
    <t>Holds the clean reported May run-rate flat. This is already a containment assumption versus the strong Jan–May increase and remains above budget.</t>
  </si>
  <si>
    <t>Uses the Jun–Dec monthly budget values.</t>
  </si>
  <si>
    <t>Data_Budget!I18:O18</t>
  </si>
  <si>
    <t>Budget is used as a timing/seasonality schedule because no better operational driver was available and actuals were reasonably close.</t>
  </si>
  <si>
    <t>Data_Budget!I19:O19</t>
  </si>
  <si>
    <t>Preserves known event timing, including the $150K June Bitcoin conference cost identified by the close review.</t>
  </si>
  <si>
    <t>Data_Budget!I20:O20</t>
  </si>
  <si>
    <t>Lumpy advisory spend is better represented by the planned timing than by straight-line extrapolation.</t>
  </si>
  <si>
    <t>Data_Budget!I21:O21</t>
  </si>
  <si>
    <t>Routine recurring spend was close to budget; budget provides a reasonable forward run-rate.</t>
  </si>
  <si>
    <t>Data_Budget!I22:O22</t>
  </si>
  <si>
    <t>Stable contracted cost with minimal historical variance; budget is an appropriate schedule.</t>
  </si>
  <si>
    <t>Data_Budget!I23:O23</t>
  </si>
  <si>
    <t>Small line with no identified independent driver; budget is retained for proportionality.</t>
  </si>
  <si>
    <t>Sum of personnel, cloud, and other operating expense rows.</t>
  </si>
  <si>
    <t>Forecast rows 28:37</t>
  </si>
  <si>
    <t>Company OpEx subtotal.</t>
  </si>
  <si>
    <t>Operating Profit Before Treasury</t>
  </si>
  <si>
    <t>Gross profit less Total OpEx.</t>
  </si>
  <si>
    <t>Forecast rows 27 and 38</t>
  </si>
  <si>
    <t>Primary operating performance output used by the three labeled scenario cells.</t>
  </si>
  <si>
    <t>June mark equals 80 BTC × scenario price less May average BTC price ÷ 1,000; Jul–Dec marks are zero under a flat price path. FY includes Jan–May actual marks.</t>
  </si>
  <si>
    <t>Inputs!H8; Forecast row 11; Data_KPIs!G5</t>
  </si>
  <si>
    <t>Treasury is shown separately so BTC volatility does not distort operating analysis. Flat price after June means no additional monthly remeasurement movement.</t>
  </si>
  <si>
    <t>Major Bear downside</t>
  </si>
  <si>
    <t>Operating profit plus treasury mark.</t>
  </si>
  <si>
    <t>Forecast rows 39:40</t>
  </si>
  <si>
    <t>Total result after the non-operating BTC treasury effect.</t>
  </si>
  <si>
    <t>Different from operations and treasury</t>
  </si>
  <si>
    <t>KEY MODEL INTERPRETATION</t>
  </si>
  <si>
    <t>Scenario scope</t>
  </si>
  <si>
    <t>Base and Bear differ only through BTC price. Jade volumes, Liquid pegged-in BTC, personnel, and other costs remain identical.</t>
  </si>
  <si>
    <t>This creates a clean BTC-price sensitivity rather than a fully stressed downside case.</t>
  </si>
  <si>
    <t>FY columns</t>
  </si>
  <si>
    <t>FY Base and FY Bear equal Jan–May actuals plus Jun–Dec forecasts.</t>
  </si>
  <si>
    <t>Data_Actuals + monthly forecast</t>
  </si>
  <si>
    <t>They are not twelve months of forecast and should be described as FY outlooks.</t>
  </si>
  <si>
    <t>Hybrid forecasting</t>
  </si>
  <si>
    <t>Rows 16–31 are mainly driver/trend based; rows 32–37 use budget timing.</t>
  </si>
  <si>
    <t>Inputs + Data_Budget</t>
  </si>
  <si>
    <t>This is defensible because major economics are reforecast while smaller/lumpy lines preserve known seasonality, but it should be disclosed as a hybrid driver model.</t>
  </si>
  <si>
    <t>AMP review item</t>
  </si>
  <si>
    <t>The forecast uses reported May AMP revenue and +$32.5K monthly adds. It does not separately reflect the $132K May deferral and $11K monthly Jun–Dec release described in GL_Recon.</t>
  </si>
  <si>
    <t>Forecast row 21; GL_Recon rows 26:30</t>
  </si>
  <si>
    <t>Either update the forecast for the correcting entry or state clearly that the forecast is on a reported/unadjusted basis.</t>
  </si>
  <si>
    <t>Primary outputs</t>
  </si>
  <si>
    <t>Base FY operating loss is linked to Forecast!N39, Bear to Forecast!W39, and Swing is Base less Bear.</t>
  </si>
  <si>
    <t>Forecast!H5:H7</t>
  </si>
  <si>
    <t>These are the reviewer-facing scenario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</si>
</sst>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"/>
    <numFmt numFmtId="165" formatCode="0.0%"/>
    <numFmt numFmtId="166" formatCode="#,##0.0"/>
    <numFmt numFmtId="167" formatCode="0.000%"/>
    <numFmt numFmtId="168" formatCode="#,##0.0;\(#,##0.0\);\-"/>
    <numFmt numFmtId="169" formatCode="#,##0;\(#,##0\);\-"/>
    <numFmt numFmtId="170" formatCode="[Red]#,##0;[Red]\(#,##0\);[Green]&quot;OK&quot;"/>
  </numFmts>
  <fonts count="2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4"/>
      <color rgb="FF1A1A1A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8000"/>
      <name val="Calibri"/>
      <family val="2"/>
      <charset val="1"/>
    </font>
    <font>
      <sz val="10"/>
      <color rgb="FF0000FF"/>
      <name val="Arial"/>
      <family val="2"/>
      <charset val="1"/>
    </font>
    <font>
      <i/>
      <sz val="11"/>
      <color rgb="FF222222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70C0"/>
      <name val="Arial"/>
      <family val="2"/>
      <charset val="1"/>
    </font>
    <font>
      <sz val="10"/>
      <color rgb="FF00800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222222"/>
      <name val="Arial"/>
      <family val="2"/>
      <charset val="1"/>
    </font>
    <font>
      <sz val="11"/>
      <color rgb="FF222222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222222"/>
      <name val="Arial"/>
      <family val="2"/>
      <charset val="1"/>
    </font>
    <font>
      <b/>
      <sz val="14"/>
      <color rgb="FFFFFFFF"/>
      <name val="Calibri"/>
      <family val="2"/>
      <charset val="1"/>
    </font>
    <font>
      <i/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24292F"/>
        <bgColor rgb="FF1D2330"/>
      </patternFill>
    </fill>
    <fill>
      <patternFill patternType="solid">
        <fgColor rgb="FF1D2330"/>
        <bgColor rgb="FF222222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808080"/>
      </patternFill>
    </fill>
    <fill>
      <patternFill patternType="solid">
        <fgColor rgb="FF548235"/>
        <bgColor rgb="FF595959"/>
      </patternFill>
    </fill>
    <fill>
      <patternFill patternType="solid">
        <fgColor rgb="FFE7E6E6"/>
        <bgColor rgb="FFDCE6F1"/>
      </patternFill>
    </fill>
    <fill>
      <patternFill patternType="solid">
        <fgColor rgb="FFF2F2F2"/>
        <bgColor rgb="FFE6F4EA"/>
      </patternFill>
    </fill>
    <fill>
      <patternFill patternType="solid">
        <fgColor rgb="FFDCE6F1"/>
        <bgColor rgb="FFE7E6E6"/>
      </patternFill>
    </fill>
    <fill>
      <patternFill patternType="solid">
        <fgColor rgb="FFFCE4E4"/>
        <bgColor rgb="FFFDEADA"/>
      </patternFill>
    </fill>
    <fill>
      <patternFill patternType="solid">
        <fgColor rgb="FFE6F4EA"/>
        <bgColor rgb="FFF2F2F2"/>
      </patternFill>
    </fill>
    <fill>
      <patternFill patternType="solid">
        <fgColor rgb="FF4472C4"/>
        <bgColor rgb="FF0070C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5" fillId="0" borderId="1" xfId="0" applyFont="1" applyBorder="1" applyAlignment="1">
      <alignment vertical="center" wrapText="1"/>
    </xf>
    <xf numFmtId="0" fontId="4" fillId="9" borderId="1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8" fillId="3" borderId="0" xfId="0" applyFont="1" applyFill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0" fillId="3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16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164" fontId="10" fillId="4" borderId="1" xfId="0" applyNumberFormat="1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5" fontId="10" fillId="4" borderId="1" xfId="0" applyNumberFormat="1" applyFont="1" applyFill="1" applyBorder="1" applyAlignment="1">
      <alignment vertical="center"/>
    </xf>
    <xf numFmtId="164" fontId="12" fillId="0" borderId="1" xfId="0" applyNumberFormat="1" applyFont="1" applyBorder="1" applyAlignment="1">
      <alignment vertical="center"/>
    </xf>
    <xf numFmtId="166" fontId="9" fillId="0" borderId="0" xfId="0" applyNumberFormat="1" applyFont="1" applyAlignment="1">
      <alignment vertical="center"/>
    </xf>
    <xf numFmtId="3" fontId="13" fillId="4" borderId="1" xfId="0" applyNumberFormat="1" applyFont="1" applyFill="1" applyBorder="1" applyAlignment="1">
      <alignment vertical="center"/>
    </xf>
    <xf numFmtId="165" fontId="9" fillId="0" borderId="0" xfId="0" applyNumberFormat="1" applyFont="1" applyAlignment="1">
      <alignment vertical="center"/>
    </xf>
    <xf numFmtId="164" fontId="14" fillId="0" borderId="1" xfId="0" applyNumberFormat="1" applyFont="1" applyBorder="1" applyAlignment="1">
      <alignment vertical="center"/>
    </xf>
    <xf numFmtId="165" fontId="12" fillId="0" borderId="1" xfId="0" applyNumberFormat="1" applyFont="1" applyBorder="1" applyAlignment="1">
      <alignment vertical="center"/>
    </xf>
    <xf numFmtId="167" fontId="9" fillId="0" borderId="0" xfId="0" applyNumberFormat="1" applyFont="1" applyAlignment="1">
      <alignment vertical="center"/>
    </xf>
    <xf numFmtId="10" fontId="12" fillId="0" borderId="1" xfId="0" applyNumberFormat="1" applyFont="1" applyBorder="1" applyAlignment="1">
      <alignment vertical="center"/>
    </xf>
    <xf numFmtId="168" fontId="9" fillId="0" borderId="0" xfId="0" applyNumberFormat="1" applyFont="1" applyAlignment="1">
      <alignment vertical="center"/>
    </xf>
    <xf numFmtId="168" fontId="12" fillId="0" borderId="1" xfId="0" applyNumberFormat="1" applyFont="1" applyBorder="1" applyAlignment="1">
      <alignment vertical="center"/>
    </xf>
    <xf numFmtId="169" fontId="10" fillId="4" borderId="1" xfId="0" applyNumberFormat="1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166" fontId="12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9" fontId="4" fillId="4" borderId="1" xfId="0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69" fontId="12" fillId="0" borderId="1" xfId="0" applyNumberFormat="1" applyFont="1" applyBorder="1" applyAlignment="1">
      <alignment vertical="center"/>
    </xf>
    <xf numFmtId="169" fontId="15" fillId="5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164" fontId="16" fillId="7" borderId="1" xfId="0" applyNumberFormat="1" applyFont="1" applyFill="1" applyBorder="1" applyAlignment="1">
      <alignment horizontal="right" vertical="center"/>
    </xf>
    <xf numFmtId="169" fontId="16" fillId="7" borderId="1" xfId="0" applyNumberFormat="1" applyFont="1" applyFill="1" applyBorder="1" applyAlignment="1">
      <alignment horizontal="right" vertical="center"/>
    </xf>
    <xf numFmtId="3" fontId="12" fillId="0" borderId="1" xfId="0" applyNumberFormat="1" applyFont="1" applyBorder="1" applyAlignment="1">
      <alignment vertical="center"/>
    </xf>
    <xf numFmtId="169" fontId="17" fillId="7" borderId="0" xfId="0" applyNumberFormat="1" applyFont="1" applyFill="1" applyAlignment="1">
      <alignment horizontal="right" vertical="center"/>
    </xf>
    <xf numFmtId="169" fontId="4" fillId="8" borderId="1" xfId="0" applyNumberFormat="1" applyFont="1" applyFill="1" applyBorder="1" applyAlignment="1">
      <alignment vertical="center"/>
    </xf>
    <xf numFmtId="170" fontId="18" fillId="0" borderId="0" xfId="0" applyNumberFormat="1" applyFont="1" applyAlignment="1">
      <alignment horizontal="center" vertical="center"/>
    </xf>
    <xf numFmtId="0" fontId="4" fillId="8" borderId="1" xfId="0" applyFont="1" applyFill="1" applyBorder="1" applyAlignment="1">
      <alignment vertical="center"/>
    </xf>
    <xf numFmtId="169" fontId="19" fillId="7" borderId="1" xfId="0" applyNumberFormat="1" applyFont="1" applyFill="1" applyBorder="1" applyAlignment="1">
      <alignment horizontal="right" vertical="center"/>
    </xf>
    <xf numFmtId="169" fontId="12" fillId="8" borderId="1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169" fontId="14" fillId="0" borderId="1" xfId="0" applyNumberFormat="1" applyFont="1" applyBorder="1" applyAlignment="1">
      <alignment vertical="center"/>
    </xf>
    <xf numFmtId="169" fontId="4" fillId="8" borderId="2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9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10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0" fontId="5" fillId="0" borderId="1" xfId="0" applyFont="1" applyBorder="1"/>
    <xf numFmtId="165" fontId="5" fillId="0" borderId="1" xfId="0" applyNumberFormat="1" applyFont="1" applyBorder="1"/>
    <xf numFmtId="169" fontId="14" fillId="0" borderId="1" xfId="0" applyNumberFormat="1" applyFont="1" applyBorder="1"/>
    <xf numFmtId="169" fontId="5" fillId="0" borderId="1" xfId="0" applyNumberFormat="1" applyFont="1" applyBorder="1"/>
    <xf numFmtId="0" fontId="4" fillId="0" borderId="1" xfId="0" applyFont="1" applyBorder="1"/>
    <xf numFmtId="169" fontId="4" fillId="8" borderId="1" xfId="0" applyNumberFormat="1" applyFont="1" applyFill="1" applyBorder="1"/>
    <xf numFmtId="0" fontId="3" fillId="0" borderId="0" xfId="0" applyFont="1" applyAlignment="1">
      <alignment vertical="top" wrapText="1"/>
    </xf>
    <xf numFmtId="0" fontId="7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8" fillId="12" borderId="0" xfId="0" applyFont="1" applyFill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DEADA"/>
      <rgbColor rgb="FFE6F4EA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CE6F1"/>
      <rgbColor rgb="FFE7E6E6"/>
      <rgbColor rgb="FFF2F2F2"/>
      <rgbColor rgb="FF99CCFF"/>
      <rgbColor rgb="FFFF99CC"/>
      <rgbColor rgb="FFCC99FF"/>
      <rgbColor rgb="FFFCE4E4"/>
      <rgbColor rgb="FF4472C4"/>
      <rgbColor rgb="FF33CCCC"/>
      <rgbColor rgb="FF99CC00"/>
      <rgbColor rgb="FFFFCC00"/>
      <rgbColor rgb="FFFF9900"/>
      <rgbColor rgb="FFFF6600"/>
      <rgbColor rgb="FF595959"/>
      <rgbColor rgb="FF7F7F7F"/>
      <rgbColor rgb="FF1D2330"/>
      <rgbColor rgb="FF00B050"/>
      <rgbColor rgb="FF1A1A1A"/>
      <rgbColor rgb="FF222222"/>
      <rgbColor rgb="FF993300"/>
      <rgbColor rgb="FF993366"/>
      <rgbColor rgb="FF333399"/>
      <rgbColor rgb="FF2429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zoomScaleNormal="100" workbookViewId="0"/>
  </sheetViews>
  <sheetFormatPr defaultColWidth="8.68359375" defaultRowHeight="14.4" x14ac:dyDescent="0.55000000000000004"/>
  <cols>
    <col min="1" max="1" width="18" style="8" customWidth="1"/>
    <col min="2" max="2" width="130" style="8" customWidth="1"/>
    <col min="3" max="16384" width="8.68359375" style="8"/>
  </cols>
  <sheetData>
    <row r="1" spans="1:2" ht="17.25" customHeight="1" x14ac:dyDescent="0.55000000000000004">
      <c r="A1" s="9" t="s">
        <v>0</v>
      </c>
    </row>
    <row r="2" spans="1:2" ht="15" customHeight="1" x14ac:dyDescent="0.55000000000000004">
      <c r="A2" s="10" t="s">
        <v>1</v>
      </c>
    </row>
    <row r="3" spans="1:2" ht="15" customHeight="1" x14ac:dyDescent="0.55000000000000004">
      <c r="A3" s="11"/>
      <c r="B3" s="12"/>
    </row>
    <row r="4" spans="1:2" ht="24" customHeight="1" x14ac:dyDescent="0.55000000000000004">
      <c r="A4" s="11" t="s">
        <v>2</v>
      </c>
      <c r="B4" s="12" t="s">
        <v>3</v>
      </c>
    </row>
    <row r="5" spans="1:2" x14ac:dyDescent="0.55000000000000004">
      <c r="A5" s="11"/>
      <c r="B5" s="12"/>
    </row>
    <row r="6" spans="1:2" x14ac:dyDescent="0.55000000000000004">
      <c r="A6" s="11" t="s">
        <v>4</v>
      </c>
      <c r="B6" s="12"/>
    </row>
    <row r="7" spans="1:2" x14ac:dyDescent="0.55000000000000004">
      <c r="A7" s="11" t="s">
        <v>5</v>
      </c>
      <c r="B7" s="12" t="s">
        <v>6</v>
      </c>
    </row>
    <row r="8" spans="1:2" ht="24" customHeight="1" x14ac:dyDescent="0.55000000000000004">
      <c r="A8" s="11" t="s">
        <v>7</v>
      </c>
      <c r="B8" s="12" t="s">
        <v>8</v>
      </c>
    </row>
    <row r="9" spans="1:2" x14ac:dyDescent="0.55000000000000004">
      <c r="A9" s="11" t="s">
        <v>9</v>
      </c>
      <c r="B9" s="12" t="s">
        <v>10</v>
      </c>
    </row>
    <row r="10" spans="1:2" ht="24" customHeight="1" x14ac:dyDescent="0.55000000000000004">
      <c r="A10" s="11" t="s">
        <v>11</v>
      </c>
      <c r="B10" s="12" t="s">
        <v>12</v>
      </c>
    </row>
    <row r="11" spans="1:2" x14ac:dyDescent="0.55000000000000004">
      <c r="A11" s="11" t="s">
        <v>13</v>
      </c>
      <c r="B11" s="12" t="s">
        <v>14</v>
      </c>
    </row>
    <row r="12" spans="1:2" x14ac:dyDescent="0.55000000000000004">
      <c r="A12" s="11" t="s">
        <v>15</v>
      </c>
      <c r="B12" s="12" t="s">
        <v>16</v>
      </c>
    </row>
    <row r="13" spans="1:2" x14ac:dyDescent="0.55000000000000004">
      <c r="A13" s="11" t="s">
        <v>17</v>
      </c>
      <c r="B13" s="12" t="s">
        <v>18</v>
      </c>
    </row>
    <row r="14" spans="1:2" x14ac:dyDescent="0.55000000000000004">
      <c r="A14" s="11" t="s">
        <v>19</v>
      </c>
      <c r="B14" s="12" t="s">
        <v>20</v>
      </c>
    </row>
    <row r="15" spans="1:2" x14ac:dyDescent="0.55000000000000004">
      <c r="A15" s="11"/>
      <c r="B15" s="12"/>
    </row>
    <row r="16" spans="1:2" x14ac:dyDescent="0.55000000000000004">
      <c r="A16" s="11" t="s">
        <v>21</v>
      </c>
      <c r="B16" s="12" t="s">
        <v>22</v>
      </c>
    </row>
    <row r="17" spans="1:2" x14ac:dyDescent="0.55000000000000004">
      <c r="A17" s="11" t="s">
        <v>23</v>
      </c>
      <c r="B17" s="12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K38"/>
  <sheetViews>
    <sheetView tabSelected="1" zoomScaleNormal="100" workbookViewId="0">
      <selection activeCell="H7" sqref="H7"/>
    </sheetView>
  </sheetViews>
  <sheetFormatPr defaultColWidth="8.68359375" defaultRowHeight="14.4" outlineLevelCol="1" x14ac:dyDescent="0.55000000000000004"/>
  <cols>
    <col min="1" max="1" width="52" style="13" customWidth="1"/>
    <col min="2" max="2" width="2" style="13" customWidth="1"/>
    <col min="3" max="7" width="12.62890625" style="13" customWidth="1" outlineLevel="1"/>
    <col min="8" max="8" width="14" style="13" customWidth="1"/>
    <col min="9" max="9" width="68.41796875" style="13" customWidth="1"/>
    <col min="10" max="10" width="12" style="13" customWidth="1"/>
    <col min="11" max="11" width="41.20703125" style="13" customWidth="1"/>
    <col min="12" max="16384" width="8.68359375" style="13"/>
  </cols>
  <sheetData>
    <row r="1" spans="1:11" ht="17.25" customHeight="1" x14ac:dyDescent="0.55000000000000004">
      <c r="A1" s="14" t="s">
        <v>25</v>
      </c>
    </row>
    <row r="2" spans="1:11" ht="15" customHeight="1" x14ac:dyDescent="0.55000000000000004">
      <c r="A2" s="15" t="s">
        <v>26</v>
      </c>
    </row>
    <row r="4" spans="1:11" ht="15" customHeight="1" x14ac:dyDescent="0.55000000000000004">
      <c r="A4" s="16" t="s">
        <v>27</v>
      </c>
      <c r="B4" s="16"/>
      <c r="C4" s="17" t="s">
        <v>28</v>
      </c>
      <c r="D4" s="17" t="s">
        <v>29</v>
      </c>
      <c r="E4" s="17" t="s">
        <v>30</v>
      </c>
      <c r="F4" s="17" t="s">
        <v>31</v>
      </c>
      <c r="G4" s="17" t="s">
        <v>32</v>
      </c>
      <c r="H4" s="16" t="s">
        <v>33</v>
      </c>
      <c r="I4" s="16"/>
      <c r="J4" s="16"/>
      <c r="K4" s="18" t="s">
        <v>34</v>
      </c>
    </row>
    <row r="5" spans="1:11" ht="21.75" customHeight="1" x14ac:dyDescent="0.55000000000000004">
      <c r="A5" s="19" t="s">
        <v>35</v>
      </c>
      <c r="C5" s="20">
        <f>Data_KPIs!C5</f>
        <v>94000</v>
      </c>
      <c r="D5" s="20">
        <f>Data_KPIs!D5</f>
        <v>88000</v>
      </c>
      <c r="E5" s="20">
        <f>Data_KPIs!E5</f>
        <v>101000</v>
      </c>
      <c r="F5" s="20">
        <f>Data_KPIs!F5</f>
        <v>92000</v>
      </c>
      <c r="G5" s="20">
        <f>Data_KPIs!G5</f>
        <v>108000</v>
      </c>
      <c r="H5" s="21">
        <v>108000</v>
      </c>
      <c r="I5" s="22" t="s">
        <v>36</v>
      </c>
      <c r="K5" s="23" t="s">
        <v>37</v>
      </c>
    </row>
    <row r="6" spans="1:11" ht="21.75" customHeight="1" x14ac:dyDescent="0.55000000000000004">
      <c r="A6" s="24" t="s">
        <v>38</v>
      </c>
      <c r="C6" s="25"/>
      <c r="D6" s="25"/>
      <c r="E6" s="25"/>
      <c r="F6" s="25"/>
      <c r="G6" s="25"/>
      <c r="H6" s="26">
        <v>-0.5</v>
      </c>
      <c r="I6" s="22" t="s">
        <v>39</v>
      </c>
      <c r="K6" s="23" t="s">
        <v>40</v>
      </c>
    </row>
    <row r="7" spans="1:11" ht="15" customHeight="1" x14ac:dyDescent="0.55000000000000004">
      <c r="A7" s="24" t="s">
        <v>41</v>
      </c>
      <c r="C7" s="25"/>
      <c r="D7" s="25"/>
      <c r="E7" s="25"/>
      <c r="F7" s="25"/>
      <c r="G7" s="25"/>
      <c r="H7" s="27">
        <f>H5*(1+H6)</f>
        <v>54000</v>
      </c>
      <c r="K7" s="23" t="s">
        <v>42</v>
      </c>
    </row>
    <row r="8" spans="1:11" ht="21.75" customHeight="1" x14ac:dyDescent="0.55000000000000004">
      <c r="A8" s="24" t="s">
        <v>43</v>
      </c>
      <c r="C8" s="28" t="s">
        <v>44</v>
      </c>
      <c r="D8" s="28">
        <f>Data_Actuals!E11*1000/(Data_KPIs!D5-Data_KPIs!C5)</f>
        <v>70</v>
      </c>
      <c r="E8" s="28">
        <f>Data_Actuals!F11*1000/(Data_KPIs!E5-Data_KPIs!D5)</f>
        <v>84.615384615384613</v>
      </c>
      <c r="F8" s="28">
        <f>Data_Actuals!G11*1000/(Data_KPIs!F5-Data_KPIs!E5)</f>
        <v>75.555555555555557</v>
      </c>
      <c r="G8" s="28">
        <f>Data_Actuals!H11*1000/(Data_KPIs!G5-Data_KPIs!F5)</f>
        <v>90.625</v>
      </c>
      <c r="H8" s="29">
        <v>80</v>
      </c>
      <c r="I8" s="22" t="s">
        <v>45</v>
      </c>
      <c r="K8" s="23" t="s">
        <v>46</v>
      </c>
    </row>
    <row r="9" spans="1:11" x14ac:dyDescent="0.55000000000000004">
      <c r="C9" s="25"/>
      <c r="D9" s="25"/>
      <c r="E9" s="25"/>
      <c r="F9" s="25"/>
      <c r="G9" s="25"/>
      <c r="K9" s="23"/>
    </row>
    <row r="10" spans="1:11" ht="15" customHeight="1" x14ac:dyDescent="0.55000000000000004">
      <c r="A10" s="16" t="s">
        <v>47</v>
      </c>
      <c r="B10" s="16"/>
      <c r="C10" s="16"/>
      <c r="D10" s="16"/>
      <c r="E10" s="16"/>
      <c r="F10" s="16"/>
      <c r="G10" s="16"/>
      <c r="H10" s="16"/>
      <c r="I10" s="16"/>
      <c r="J10" s="16"/>
      <c r="K10" s="23"/>
    </row>
    <row r="11" spans="1:11" ht="21.75" customHeight="1" x14ac:dyDescent="0.55000000000000004">
      <c r="A11" s="24" t="s">
        <v>48</v>
      </c>
      <c r="C11" s="30" t="s">
        <v>44</v>
      </c>
      <c r="D11" s="30">
        <f>Data_KPIs!D6/Data_KPIs!C6-1</f>
        <v>-6.4516129032258118E-2</v>
      </c>
      <c r="E11" s="30">
        <f>Data_KPIs!E6/Data_KPIs!D6-1</f>
        <v>0.22413793103448265</v>
      </c>
      <c r="F11" s="30">
        <f>Data_KPIs!F6/Data_KPIs!E6-1</f>
        <v>-0.23943661971830987</v>
      </c>
      <c r="G11" s="30">
        <f>Data_KPIs!G6/Data_KPIs!F6-1</f>
        <v>-8.2962962962963016E-2</v>
      </c>
      <c r="H11" s="26">
        <v>0</v>
      </c>
      <c r="I11" s="22" t="s">
        <v>49</v>
      </c>
      <c r="K11" s="23" t="s">
        <v>50</v>
      </c>
    </row>
    <row r="12" spans="1:11" ht="15" customHeight="1" x14ac:dyDescent="0.55000000000000004">
      <c r="A12" s="24" t="s">
        <v>51</v>
      </c>
      <c r="C12" s="20">
        <f>Data_KPIs!C7</f>
        <v>80</v>
      </c>
      <c r="D12" s="20">
        <f>Data_KPIs!D7</f>
        <v>80</v>
      </c>
      <c r="E12" s="20">
        <f>Data_KPIs!E7</f>
        <v>80</v>
      </c>
      <c r="F12" s="20">
        <f>Data_KPIs!F7</f>
        <v>80</v>
      </c>
      <c r="G12" s="20">
        <f>Data_KPIs!G7</f>
        <v>80</v>
      </c>
      <c r="H12" s="31">
        <f>Data_KPIs!$G$7</f>
        <v>80</v>
      </c>
      <c r="I12" s="22" t="s">
        <v>52</v>
      </c>
      <c r="K12" s="23" t="s">
        <v>51</v>
      </c>
    </row>
    <row r="13" spans="1:11" ht="15" customHeight="1" x14ac:dyDescent="0.55000000000000004">
      <c r="A13" s="24" t="s">
        <v>53</v>
      </c>
      <c r="C13" s="30">
        <f>Data_Actuals!D7/Data_Actuals!D5</f>
        <v>0.15322580645161291</v>
      </c>
      <c r="D13" s="30">
        <f>Data_Actuals!E7/Data_Actuals!E5</f>
        <v>0.15172413793103448</v>
      </c>
      <c r="E13" s="30">
        <f>Data_Actuals!F7/Data_Actuals!F5</f>
        <v>0.15492957746478872</v>
      </c>
      <c r="F13" s="30">
        <f>Data_Actuals!G7/Data_Actuals!G5</f>
        <v>0.14814814814814814</v>
      </c>
      <c r="G13" s="30">
        <f>Data_Actuals!H7/Data_Actuals!H5</f>
        <v>0.15353535353535352</v>
      </c>
      <c r="H13" s="32">
        <f>AVERAGE(Data_Actuals!D7:H7)/AVERAGE(Data_Actuals!D5:H5)</f>
        <v>0.15246179966044143</v>
      </c>
      <c r="I13" s="22" t="s">
        <v>54</v>
      </c>
      <c r="K13" s="23" t="s">
        <v>55</v>
      </c>
    </row>
    <row r="14" spans="1:11" ht="15" customHeight="1" x14ac:dyDescent="0.55000000000000004">
      <c r="A14" s="24" t="s">
        <v>56</v>
      </c>
      <c r="C14" s="30" t="s">
        <v>44</v>
      </c>
      <c r="D14" s="30">
        <f>Data_Actuals!E6/Data_Actuals!D6-1</f>
        <v>3.8095238095238182E-2</v>
      </c>
      <c r="E14" s="30">
        <f>Data_Actuals!F6/Data_Actuals!E6-1</f>
        <v>3.2110091743119185E-2</v>
      </c>
      <c r="F14" s="30">
        <f>Data_Actuals!G6/Data_Actuals!F6-1</f>
        <v>3.5555555555555562E-2</v>
      </c>
      <c r="G14" s="30">
        <f>Data_Actuals!H6/Data_Actuals!G6-1</f>
        <v>3.0042918454935563E-2</v>
      </c>
      <c r="H14" s="32">
        <f>(Data_Actuals!$H$6/Data_Actuals!$D$6)^(1/4)-1</f>
        <v>3.3946307914341167E-2</v>
      </c>
      <c r="I14" s="22" t="s">
        <v>57</v>
      </c>
      <c r="K14" s="23" t="s">
        <v>58</v>
      </c>
    </row>
    <row r="15" spans="1:11" ht="15" customHeight="1" x14ac:dyDescent="0.55000000000000004">
      <c r="A15" s="24" t="s">
        <v>59</v>
      </c>
      <c r="C15" s="30" t="s">
        <v>44</v>
      </c>
      <c r="D15" s="30">
        <f>Data_KPIs!D9/Data_KPIs!C9-1</f>
        <v>3.5714285714285809E-2</v>
      </c>
      <c r="E15" s="30">
        <f>Data_KPIs!E9/Data_KPIs!D9-1</f>
        <v>2.9885057471264354E-2</v>
      </c>
      <c r="F15" s="30">
        <f>Data_KPIs!F9/Data_KPIs!E9-1</f>
        <v>3.125E-2</v>
      </c>
      <c r="G15" s="30">
        <f>Data_KPIs!G9/Data_KPIs!F9-1</f>
        <v>4.1125541125541121E-2</v>
      </c>
      <c r="H15" s="32">
        <f>(Data_KPIs!$G$9/Data_KPIs!$C$9)^(1/4)-1</f>
        <v>3.4484401413103161E-2</v>
      </c>
      <c r="I15" s="22" t="s">
        <v>60</v>
      </c>
      <c r="K15" s="23" t="s">
        <v>59</v>
      </c>
    </row>
    <row r="16" spans="1:11" ht="32.25" customHeight="1" x14ac:dyDescent="0.55000000000000004">
      <c r="A16" s="24" t="s">
        <v>61</v>
      </c>
      <c r="C16" s="33">
        <f>Data_Actuals!D8/(Data_KPIs!C9*Data_KPIs!C5/1000)</f>
        <v>9.6251266464032423E-4</v>
      </c>
      <c r="D16" s="33">
        <f>Data_Actuals!E8/(Data_KPIs!D9*Data_KPIs!D5/1000)</f>
        <v>9.1431556948798332E-4</v>
      </c>
      <c r="E16" s="33">
        <f>Data_Actuals!F8/(Data_KPIs!E9*Data_KPIs!E5/1000)</f>
        <v>9.8346888260254588E-4</v>
      </c>
      <c r="F16" s="33">
        <f>Data_Actuals!G8/(Data_KPIs!F9*Data_KPIs!F5/1000)</f>
        <v>9.5285149632975724E-4</v>
      </c>
      <c r="G16" s="33">
        <f>Data_Actuals!H8/(Data_KPIs!G9*Data_KPIs!G5/1000)</f>
        <v>9.8175098175098171E-4</v>
      </c>
      <c r="H16" s="34">
        <f>(Data_Actuals!$D$8/(Data_KPIs!$C$9*Data_KPIs!$C$5/1000)+Data_Actuals!$E$8/(Data_KPIs!$D$9*Data_KPIs!$D$5/1000)+Data_Actuals!$F$8/(Data_KPIs!$E$9*Data_KPIs!$E$5/1000)+Data_Actuals!$G$8/(Data_KPIs!$F$9*Data_KPIs!$F$5/1000)+Data_Actuals!$H$8/(Data_KPIs!$G$9*Data_KPIs!$G$5/1000))/5</f>
        <v>9.5897991896231845E-4</v>
      </c>
      <c r="I16" s="22" t="s">
        <v>62</v>
      </c>
      <c r="K16" s="23" t="s">
        <v>63</v>
      </c>
    </row>
    <row r="17" spans="1:11" ht="15" customHeight="1" x14ac:dyDescent="0.55000000000000004">
      <c r="A17" s="24" t="s">
        <v>64</v>
      </c>
      <c r="C17" s="33">
        <f>Data_Actuals!D8/(Data_KPIs!C9*Data_KPIs!C5/1000)</f>
        <v>9.6251266464032423E-4</v>
      </c>
      <c r="D17" s="33">
        <f>Data_Actuals!E8/(Data_KPIs!D9*Data_KPIs!D5/1000)</f>
        <v>9.1431556948798332E-4</v>
      </c>
      <c r="E17" s="33">
        <f>Data_Actuals!F8/(Data_KPIs!E9*Data_KPIs!E5/1000)</f>
        <v>9.8346888260254588E-4</v>
      </c>
      <c r="F17" s="33">
        <f>Data_Actuals!G8/(Data_KPIs!F9*Data_KPIs!F5/1000)</f>
        <v>9.5285149632975724E-4</v>
      </c>
      <c r="G17" s="33">
        <f>Data_Actuals!H8/(Data_KPIs!G9*Data_KPIs!G5/1000)</f>
        <v>9.8175098175098171E-4</v>
      </c>
      <c r="H17" s="34">
        <f>MIN(Data_Actuals!$D$8/(Data_KPIs!$C$9*Data_KPIs!$C$5/1000),Data_Actuals!$E$8/(Data_KPIs!$D$9*Data_KPIs!$D$5/1000),Data_Actuals!$F$8/(Data_KPIs!$E$9*Data_KPIs!$E$5/1000),Data_Actuals!$G$8/(Data_KPIs!$F$9*Data_KPIs!$F$5/1000),Data_Actuals!$H$8/(Data_KPIs!$G$9*Data_KPIs!$G$5/1000))</f>
        <v>9.1431556948798332E-4</v>
      </c>
      <c r="I17" s="22"/>
      <c r="J17" s="34">
        <f>MAX(Data_Actuals!$D$8/(Data_KPIs!$C$9*Data_KPIs!$C$5/1000),Data_Actuals!$E$8/(Data_KPIs!$D$9*Data_KPIs!$D$5/1000),Data_Actuals!$F$8/(Data_KPIs!$E$9*Data_KPIs!$E$5/1000),Data_Actuals!$G$8/(Data_KPIs!$F$9*Data_KPIs!$F$5/1000),Data_Actuals!$H$8/(Data_KPIs!$G$9*Data_KPIs!$G$5/1000))</f>
        <v>9.8346888260254588E-4</v>
      </c>
      <c r="K17" s="23" t="s">
        <v>65</v>
      </c>
    </row>
    <row r="18" spans="1:11" ht="21.75" customHeight="1" x14ac:dyDescent="0.55000000000000004">
      <c r="A18" s="24" t="s">
        <v>66</v>
      </c>
      <c r="C18" s="35" t="s">
        <v>44</v>
      </c>
      <c r="D18" s="35">
        <f>Data_Actuals!E9-Data_Actuals!D9</f>
        <v>30</v>
      </c>
      <c r="E18" s="35">
        <f>Data_Actuals!F9-Data_Actuals!E9</f>
        <v>30</v>
      </c>
      <c r="F18" s="35">
        <f>Data_Actuals!G9-Data_Actuals!F9</f>
        <v>35</v>
      </c>
      <c r="G18" s="35">
        <f>Data_Actuals!H9-Data_Actuals!G9</f>
        <v>35</v>
      </c>
      <c r="H18" s="36">
        <f>(Data_Actuals!$H$9-Data_Actuals!$D$9)/4</f>
        <v>32.5</v>
      </c>
      <c r="I18" s="22" t="s">
        <v>67</v>
      </c>
      <c r="K18" s="23" t="s">
        <v>68</v>
      </c>
    </row>
    <row r="19" spans="1:11" ht="15" customHeight="1" x14ac:dyDescent="0.55000000000000004">
      <c r="A19" s="24" t="s">
        <v>69</v>
      </c>
      <c r="C19" s="35" t="s">
        <v>44</v>
      </c>
      <c r="D19" s="35">
        <f>Data_Actuals!E10-Data_Actuals!D10</f>
        <v>15</v>
      </c>
      <c r="E19" s="35">
        <f>Data_Actuals!F10-Data_Actuals!E10</f>
        <v>-35</v>
      </c>
      <c r="F19" s="35">
        <f>Data_Actuals!G10-Data_Actuals!F10</f>
        <v>60</v>
      </c>
      <c r="G19" s="35">
        <f>Data_Actuals!H10-Data_Actuals!G10</f>
        <v>25</v>
      </c>
      <c r="H19" s="36">
        <f>(Data_Actuals!$H$10-Data_Actuals!$D$10)/4</f>
        <v>16.25</v>
      </c>
      <c r="I19" s="22" t="s">
        <v>70</v>
      </c>
      <c r="K19" s="23" t="s">
        <v>71</v>
      </c>
    </row>
    <row r="20" spans="1:11" x14ac:dyDescent="0.55000000000000004">
      <c r="C20" s="25"/>
      <c r="D20" s="25"/>
      <c r="E20" s="25"/>
      <c r="F20" s="25"/>
      <c r="G20" s="25"/>
      <c r="K20" s="23"/>
    </row>
    <row r="21" spans="1:11" ht="15" customHeight="1" x14ac:dyDescent="0.55000000000000004">
      <c r="A21" s="16" t="s">
        <v>72</v>
      </c>
      <c r="B21" s="16"/>
      <c r="C21" s="16"/>
      <c r="D21" s="16"/>
      <c r="E21" s="16"/>
      <c r="F21" s="16"/>
      <c r="G21" s="16"/>
      <c r="H21" s="16"/>
      <c r="I21" s="16"/>
      <c r="J21" s="16"/>
      <c r="K21" s="23"/>
    </row>
    <row r="22" spans="1:11" ht="15" customHeight="1" x14ac:dyDescent="0.55000000000000004">
      <c r="A22" s="24" t="s">
        <v>73</v>
      </c>
      <c r="C22" s="30">
        <f>Data_Actuals!D12/(Data_Actuals!D5+Data_Actuals!D7)</f>
        <v>0.60139860139860135</v>
      </c>
      <c r="D22" s="30">
        <f>Data_Actuals!E12/(Data_Actuals!E5+Data_Actuals!E7)</f>
        <v>0.60628742514970058</v>
      </c>
      <c r="E22" s="30">
        <f>Data_Actuals!F12/(Data_Actuals!F5+Data_Actuals!F7)</f>
        <v>0.60365853658536583</v>
      </c>
      <c r="F22" s="30">
        <f>Data_Actuals!G12/(Data_Actuals!G5+Data_Actuals!G7)</f>
        <v>0.61290322580645162</v>
      </c>
      <c r="G22" s="30">
        <f>Data_Actuals!H12/(Data_Actuals!H5+Data_Actuals!H7)</f>
        <v>0.63047285464098068</v>
      </c>
      <c r="H22" s="32">
        <f>(Data_Actuals!$D$12/(Data_Actuals!$D$5+Data_Actuals!$D$7)+Data_Actuals!$E$12/(Data_Actuals!$E$5+Data_Actuals!$E$7)+Data_Actuals!$F$12/(Data_Actuals!$F$5+Data_Actuals!$F$7)+Data_Actuals!$G$12/(Data_Actuals!$G$5+Data_Actuals!$G$7)+Data_Actuals!$H$12/(Data_Actuals!$H$5+Data_Actuals!$H$7))/5</f>
        <v>0.61094412871622006</v>
      </c>
      <c r="I22" s="22" t="s">
        <v>74</v>
      </c>
      <c r="K22" s="23" t="s">
        <v>75</v>
      </c>
    </row>
    <row r="23" spans="1:11" ht="15" customHeight="1" x14ac:dyDescent="0.55000000000000004">
      <c r="A23" s="24" t="s">
        <v>76</v>
      </c>
      <c r="C23" s="30">
        <f>Data_Actuals!D13/SUM(Data_Actuals!D8:D10)</f>
        <v>0.14096916299559473</v>
      </c>
      <c r="D23" s="30">
        <f>Data_Actuals!E13/SUM(Data_Actuals!E8:E10)</f>
        <v>0.14442013129102846</v>
      </c>
      <c r="E23" s="30">
        <f>Data_Actuals!F13/SUM(Data_Actuals!F8:F10)</f>
        <v>0.13263157894736843</v>
      </c>
      <c r="F23" s="30">
        <f>Data_Actuals!G13/SUM(Data_Actuals!G8:G10)</f>
        <v>0.1419753086419753</v>
      </c>
      <c r="G23" s="30">
        <f>Data_Actuals!H13/SUM(Data_Actuals!H8:H10)</f>
        <v>0.13872832369942195</v>
      </c>
      <c r="H23" s="32">
        <f>(Data_Actuals!$D$13/(Data_Actuals!$D$8+Data_Actuals!$D$9+Data_Actuals!$D$10)+Data_Actuals!$E$13/(Data_Actuals!$E$8+Data_Actuals!$E$9+Data_Actuals!$E$10)+Data_Actuals!$F$13/(Data_Actuals!$F$8+Data_Actuals!$F$9+Data_Actuals!$F$10)+Data_Actuals!$G$13/(Data_Actuals!$G$8+Data_Actuals!$G$9+Data_Actuals!$G$10)+Data_Actuals!$H$13/(Data_Actuals!$H$8+Data_Actuals!$H$9+Data_Actuals!$H$10))/5</f>
        <v>0.13974490111507776</v>
      </c>
      <c r="I23" s="22" t="s">
        <v>77</v>
      </c>
      <c r="K23" s="23" t="s">
        <v>78</v>
      </c>
    </row>
    <row r="24" spans="1:11" ht="15" customHeight="1" x14ac:dyDescent="0.55000000000000004">
      <c r="A24" s="24" t="s">
        <v>79</v>
      </c>
      <c r="C24" s="35" t="s">
        <v>44</v>
      </c>
      <c r="D24" s="35">
        <f>Data_Actuals!E14-Data_Actuals!D14</f>
        <v>30</v>
      </c>
      <c r="E24" s="35">
        <f>Data_Actuals!F14-Data_Actuals!E14</f>
        <v>30</v>
      </c>
      <c r="F24" s="35">
        <f>Data_Actuals!G14-Data_Actuals!F14</f>
        <v>30</v>
      </c>
      <c r="G24" s="35">
        <f>Data_Actuals!H14-Data_Actuals!G14</f>
        <v>35</v>
      </c>
      <c r="H24" s="36">
        <f>(Data_Actuals!$H$14-Data_Actuals!$D$14)/4</f>
        <v>31.25</v>
      </c>
      <c r="I24" s="22" t="s">
        <v>80</v>
      </c>
      <c r="K24" s="23" t="s">
        <v>81</v>
      </c>
    </row>
    <row r="25" spans="1:11" ht="15" customHeight="1" x14ac:dyDescent="0.55000000000000004">
      <c r="A25" s="24" t="s">
        <v>82</v>
      </c>
      <c r="C25" s="35" t="s">
        <v>44</v>
      </c>
      <c r="D25" s="35">
        <f>Data_Actuals!E15-Data_Actuals!D15</f>
        <v>15</v>
      </c>
      <c r="E25" s="35">
        <f>Data_Actuals!F15-Data_Actuals!E15</f>
        <v>5</v>
      </c>
      <c r="F25" s="35">
        <f>Data_Actuals!G15-Data_Actuals!F15</f>
        <v>15</v>
      </c>
      <c r="G25" s="35">
        <f>Data_Actuals!H15-Data_Actuals!G15</f>
        <v>15</v>
      </c>
      <c r="H25" s="36">
        <f>(Data_Actuals!$H$15-Data_Actuals!$D$15)/4</f>
        <v>12.5</v>
      </c>
      <c r="I25" s="22" t="s">
        <v>83</v>
      </c>
      <c r="K25" s="23" t="s">
        <v>84</v>
      </c>
    </row>
    <row r="26" spans="1:11" ht="15" customHeight="1" x14ac:dyDescent="0.55000000000000004">
      <c r="A26" s="24" t="s">
        <v>85</v>
      </c>
      <c r="C26" s="35" t="s">
        <v>44</v>
      </c>
      <c r="D26" s="35">
        <f>Data_Actuals!E16-Data_Actuals!D16</f>
        <v>5</v>
      </c>
      <c r="E26" s="35">
        <f>Data_Actuals!F16-Data_Actuals!E16</f>
        <v>5</v>
      </c>
      <c r="F26" s="35">
        <f>Data_Actuals!G16-Data_Actuals!F16</f>
        <v>10</v>
      </c>
      <c r="G26" s="35">
        <f>Data_Actuals!H16-Data_Actuals!G16</f>
        <v>10</v>
      </c>
      <c r="H26" s="36">
        <f>(Data_Actuals!$H$16-Data_Actuals!$D$16)/4</f>
        <v>7.5</v>
      </c>
      <c r="I26" s="22" t="s">
        <v>86</v>
      </c>
      <c r="K26" s="23" t="s">
        <v>87</v>
      </c>
    </row>
    <row r="27" spans="1:11" ht="42.75" customHeight="1" x14ac:dyDescent="0.55000000000000004">
      <c r="A27" s="24" t="s">
        <v>88</v>
      </c>
      <c r="C27" s="35">
        <f>Data_Actuals!D17</f>
        <v>285</v>
      </c>
      <c r="D27" s="35">
        <f>Data_Actuals!E17</f>
        <v>295</v>
      </c>
      <c r="E27" s="35">
        <f>Data_Actuals!F17</f>
        <v>340</v>
      </c>
      <c r="F27" s="35">
        <f>Data_Actuals!G17</f>
        <v>410</v>
      </c>
      <c r="G27" s="35">
        <f>Data_Actuals!H17</f>
        <v>480</v>
      </c>
      <c r="H27" s="37">
        <v>480</v>
      </c>
      <c r="I27" s="22" t="s">
        <v>89</v>
      </c>
      <c r="K27" s="23" t="s">
        <v>90</v>
      </c>
    </row>
    <row r="28" spans="1:11" ht="32.25" customHeight="1" x14ac:dyDescent="0.55000000000000004">
      <c r="A28" s="24" t="s">
        <v>91</v>
      </c>
      <c r="C28" s="35">
        <f>SUM(Data_Actuals!D18:D23)</f>
        <v>573</v>
      </c>
      <c r="D28" s="35">
        <f>SUM(Data_Actuals!E18:E23)</f>
        <v>553</v>
      </c>
      <c r="E28" s="35">
        <f>SUM(Data_Actuals!F18:F23)</f>
        <v>729</v>
      </c>
      <c r="F28" s="35">
        <f>SUM(Data_Actuals!G18:G23)</f>
        <v>711</v>
      </c>
      <c r="G28" s="35">
        <f>SUM(Data_Actuals!H18:H23)</f>
        <v>847</v>
      </c>
      <c r="H28" s="38" t="s">
        <v>92</v>
      </c>
      <c r="I28" s="22" t="s">
        <v>93</v>
      </c>
      <c r="K28" s="23" t="s">
        <v>94</v>
      </c>
    </row>
    <row r="29" spans="1:11" x14ac:dyDescent="0.55000000000000004">
      <c r="C29" s="25"/>
      <c r="D29" s="25"/>
      <c r="E29" s="25"/>
      <c r="F29" s="25"/>
      <c r="G29" s="25"/>
      <c r="K29" s="23"/>
    </row>
    <row r="30" spans="1:11" ht="15" customHeight="1" x14ac:dyDescent="0.55000000000000004">
      <c r="A30" s="16" t="s">
        <v>95</v>
      </c>
      <c r="B30" s="16"/>
      <c r="C30" s="16"/>
      <c r="D30" s="16"/>
      <c r="E30" s="16"/>
      <c r="F30" s="16"/>
      <c r="G30" s="16"/>
      <c r="H30" s="16"/>
      <c r="I30" s="16"/>
      <c r="J30" s="16"/>
      <c r="K30" s="23"/>
    </row>
    <row r="31" spans="1:11" ht="15" customHeight="1" x14ac:dyDescent="0.55000000000000004">
      <c r="A31" s="15" t="s">
        <v>96</v>
      </c>
      <c r="C31" s="25"/>
      <c r="D31" s="25"/>
      <c r="E31" s="25"/>
      <c r="F31" s="25"/>
      <c r="G31" s="25"/>
      <c r="K31" s="23"/>
    </row>
    <row r="32" spans="1:11" ht="21.75" customHeight="1" x14ac:dyDescent="0.55000000000000004">
      <c r="A32" s="24" t="s">
        <v>97</v>
      </c>
      <c r="C32" s="25"/>
      <c r="D32" s="25"/>
      <c r="E32" s="25"/>
      <c r="F32" s="25"/>
      <c r="G32" s="25"/>
      <c r="H32" s="39">
        <f>Data_Actuals!$E$11*1000/(Data_KPIs!$D$5-Data_KPIs!$C$5)</f>
        <v>70</v>
      </c>
      <c r="I32" s="22" t="s">
        <v>98</v>
      </c>
      <c r="K32" s="23"/>
    </row>
    <row r="33" spans="1:11" ht="15" customHeight="1" x14ac:dyDescent="0.55000000000000004">
      <c r="A33" s="24" t="s">
        <v>99</v>
      </c>
      <c r="C33" s="25"/>
      <c r="D33" s="25"/>
      <c r="E33" s="25"/>
      <c r="F33" s="25"/>
      <c r="G33" s="25"/>
      <c r="H33" s="39">
        <f>Data_Actuals!$F$11*1000/(Data_KPIs!$E$5-Data_KPIs!$D$5)</f>
        <v>84.615384615384613</v>
      </c>
      <c r="K33" s="23"/>
    </row>
    <row r="34" spans="1:11" ht="15" customHeight="1" x14ac:dyDescent="0.55000000000000004">
      <c r="A34" s="24" t="s">
        <v>100</v>
      </c>
      <c r="C34" s="25"/>
      <c r="D34" s="25"/>
      <c r="E34" s="25"/>
      <c r="F34" s="25"/>
      <c r="G34" s="25"/>
      <c r="H34" s="39">
        <f>Data_Actuals!$G$11*1000/(Data_KPIs!$F$5-Data_KPIs!$E$5)</f>
        <v>75.555555555555557</v>
      </c>
      <c r="K34" s="23"/>
    </row>
    <row r="35" spans="1:11" ht="15" customHeight="1" x14ac:dyDescent="0.55000000000000004">
      <c r="A35" s="24" t="s">
        <v>101</v>
      </c>
      <c r="C35" s="25"/>
      <c r="D35" s="25"/>
      <c r="E35" s="25"/>
      <c r="F35" s="25"/>
      <c r="G35" s="25"/>
      <c r="H35" s="39">
        <f>Data_Actuals!$H$11*1000/(Data_KPIs!$G$5-Data_KPIs!$F$5)</f>
        <v>90.625</v>
      </c>
      <c r="K35" s="23"/>
    </row>
    <row r="36" spans="1:11" x14ac:dyDescent="0.55000000000000004">
      <c r="C36" s="25"/>
      <c r="D36" s="25"/>
      <c r="E36" s="25"/>
      <c r="F36" s="25"/>
      <c r="G36" s="25"/>
      <c r="K36" s="23"/>
    </row>
    <row r="37" spans="1:11" ht="15" customHeight="1" x14ac:dyDescent="0.55000000000000004">
      <c r="A37" s="15" t="s">
        <v>102</v>
      </c>
      <c r="C37" s="25"/>
      <c r="D37" s="25"/>
      <c r="E37" s="25"/>
      <c r="F37" s="25"/>
      <c r="G37" s="25"/>
      <c r="H37" s="37">
        <v>50</v>
      </c>
      <c r="K37" s="23"/>
    </row>
    <row r="38" spans="1:11" ht="15" customHeight="1" x14ac:dyDescent="0.55000000000000004">
      <c r="A38" s="15" t="s">
        <v>103</v>
      </c>
      <c r="C38" s="25"/>
      <c r="D38" s="25"/>
      <c r="E38" s="25"/>
      <c r="F38" s="25"/>
      <c r="G38" s="25"/>
      <c r="H38" s="26">
        <v>0.1</v>
      </c>
      <c r="K38" s="23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W44"/>
  <sheetViews>
    <sheetView zoomScaleNormal="100" workbookViewId="0"/>
  </sheetViews>
  <sheetFormatPr defaultColWidth="8.68359375" defaultRowHeight="14.4" outlineLevelCol="1" x14ac:dyDescent="0.55000000000000004"/>
  <cols>
    <col min="1" max="1" width="40" style="13" customWidth="1"/>
    <col min="2" max="6" width="12.62890625" style="13" customWidth="1" outlineLevel="1"/>
    <col min="7" max="14" width="10" style="13" customWidth="1"/>
    <col min="15" max="15" width="11.41796875" style="13" customWidth="1"/>
    <col min="16" max="23" width="10" style="13" customWidth="1"/>
    <col min="24" max="16384" width="8.68359375" style="13"/>
  </cols>
  <sheetData>
    <row r="1" spans="1:23" ht="17.25" customHeight="1" x14ac:dyDescent="0.55000000000000004">
      <c r="A1" s="14" t="s">
        <v>104</v>
      </c>
      <c r="B1" s="14"/>
      <c r="C1" s="14"/>
      <c r="D1" s="14"/>
      <c r="E1" s="14"/>
      <c r="F1" s="14"/>
    </row>
    <row r="2" spans="1:23" ht="42" customHeight="1" x14ac:dyDescent="0.55000000000000004">
      <c r="A2" s="4" t="s">
        <v>105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4" spans="1:23" ht="15" customHeight="1" x14ac:dyDescent="0.55000000000000004">
      <c r="A4" s="3" t="s">
        <v>106</v>
      </c>
      <c r="B4" s="3"/>
      <c r="C4" s="3"/>
      <c r="D4" s="3"/>
      <c r="E4" s="3"/>
      <c r="F4" s="3"/>
      <c r="G4" s="3"/>
      <c r="H4" s="3"/>
      <c r="I4" s="3"/>
      <c r="J4" s="3"/>
    </row>
    <row r="5" spans="1:23" x14ac:dyDescent="0.55000000000000004">
      <c r="A5" s="40" t="s">
        <v>107</v>
      </c>
      <c r="B5" s="19"/>
      <c r="C5" s="19"/>
      <c r="D5" s="19"/>
      <c r="E5" s="19"/>
      <c r="F5" s="19"/>
      <c r="H5" s="41">
        <f>N39</f>
        <v>-17359.331588113389</v>
      </c>
      <c r="I5" s="15" t="s">
        <v>108</v>
      </c>
    </row>
    <row r="6" spans="1:23" ht="15" customHeight="1" x14ac:dyDescent="0.55000000000000004">
      <c r="A6" s="40" t="s">
        <v>109</v>
      </c>
      <c r="B6" s="19"/>
      <c r="C6" s="19"/>
      <c r="D6" s="19"/>
      <c r="E6" s="19"/>
      <c r="F6" s="19"/>
      <c r="H6" s="41">
        <f>W39</f>
        <v>-19081.070635965989</v>
      </c>
    </row>
    <row r="7" spans="1:23" ht="15" customHeight="1" x14ac:dyDescent="0.55000000000000004">
      <c r="A7" s="40" t="s">
        <v>110</v>
      </c>
      <c r="B7" s="19"/>
      <c r="C7" s="19"/>
      <c r="D7" s="19"/>
      <c r="E7" s="19"/>
      <c r="F7" s="19"/>
      <c r="H7" s="41">
        <f>H5-H6</f>
        <v>1721.7390478525995</v>
      </c>
    </row>
    <row r="8" spans="1:23" ht="15" customHeight="1" x14ac:dyDescent="0.55000000000000004">
      <c r="A8" s="42" t="s">
        <v>111</v>
      </c>
      <c r="B8" s="24"/>
      <c r="C8" s="24"/>
      <c r="D8" s="24"/>
      <c r="E8" s="24"/>
      <c r="F8" s="24"/>
      <c r="H8" s="43">
        <f>N41</f>
        <v>-15059.331588113389</v>
      </c>
      <c r="I8" s="43">
        <f>W41</f>
        <v>-21101.070635965989</v>
      </c>
    </row>
    <row r="9" spans="1:23" ht="15" customHeight="1" x14ac:dyDescent="0.55000000000000004">
      <c r="A9" s="3" t="s">
        <v>112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5" customHeight="1" x14ac:dyDescent="0.55000000000000004">
      <c r="A10" s="40" t="s">
        <v>113</v>
      </c>
      <c r="B10" s="44" t="s">
        <v>114</v>
      </c>
      <c r="C10" s="44" t="s">
        <v>115</v>
      </c>
      <c r="D10" s="44" t="s">
        <v>116</v>
      </c>
      <c r="E10" s="44" t="s">
        <v>117</v>
      </c>
      <c r="F10" s="44" t="s">
        <v>118</v>
      </c>
      <c r="G10" s="45" t="s">
        <v>119</v>
      </c>
      <c r="H10" s="45" t="s">
        <v>120</v>
      </c>
      <c r="I10" s="45" t="s">
        <v>121</v>
      </c>
      <c r="J10" s="45" t="s">
        <v>122</v>
      </c>
      <c r="K10" s="45" t="s">
        <v>123</v>
      </c>
      <c r="L10" s="45" t="s">
        <v>124</v>
      </c>
      <c r="M10" s="45" t="s">
        <v>125</v>
      </c>
      <c r="N10" s="45" t="s">
        <v>126</v>
      </c>
      <c r="O10" s="46" t="s">
        <v>127</v>
      </c>
      <c r="P10" s="45" t="s">
        <v>128</v>
      </c>
      <c r="Q10" s="45" t="s">
        <v>129</v>
      </c>
      <c r="R10" s="45" t="s">
        <v>130</v>
      </c>
      <c r="S10" s="45" t="s">
        <v>131</v>
      </c>
      <c r="T10" s="45" t="s">
        <v>132</v>
      </c>
      <c r="U10" s="45" t="s">
        <v>133</v>
      </c>
      <c r="V10" s="45" t="s">
        <v>134</v>
      </c>
      <c r="W10" s="45" t="s">
        <v>135</v>
      </c>
    </row>
    <row r="11" spans="1:23" ht="15" customHeight="1" x14ac:dyDescent="0.55000000000000004">
      <c r="A11" s="42" t="s">
        <v>37</v>
      </c>
      <c r="B11" s="47">
        <f>Data_KPIs!C5</f>
        <v>94000</v>
      </c>
      <c r="C11" s="47">
        <f>Data_KPIs!D5</f>
        <v>88000</v>
      </c>
      <c r="D11" s="47">
        <f>Data_KPIs!E5</f>
        <v>101000</v>
      </c>
      <c r="E11" s="47">
        <f>Data_KPIs!F5</f>
        <v>92000</v>
      </c>
      <c r="F11" s="47">
        <f>Data_KPIs!G5</f>
        <v>108000</v>
      </c>
      <c r="G11" s="27">
        <f>Inputs!$H$5</f>
        <v>108000</v>
      </c>
      <c r="H11" s="27">
        <f t="shared" ref="H11:M11" si="0">G11</f>
        <v>108000</v>
      </c>
      <c r="I11" s="27">
        <f t="shared" si="0"/>
        <v>108000</v>
      </c>
      <c r="J11" s="27">
        <f t="shared" si="0"/>
        <v>108000</v>
      </c>
      <c r="K11" s="27">
        <f t="shared" si="0"/>
        <v>108000</v>
      </c>
      <c r="L11" s="27">
        <f t="shared" si="0"/>
        <v>108000</v>
      </c>
      <c r="M11" s="27">
        <f t="shared" si="0"/>
        <v>108000</v>
      </c>
      <c r="P11" s="27">
        <f>Inputs!$H$5*(1+Inputs!$H$6)</f>
        <v>54000</v>
      </c>
      <c r="Q11" s="27">
        <f t="shared" ref="Q11:V11" si="1">P11</f>
        <v>54000</v>
      </c>
      <c r="R11" s="27">
        <f t="shared" si="1"/>
        <v>54000</v>
      </c>
      <c r="S11" s="27">
        <f t="shared" si="1"/>
        <v>54000</v>
      </c>
      <c r="T11" s="27">
        <f t="shared" si="1"/>
        <v>54000</v>
      </c>
      <c r="U11" s="27">
        <f t="shared" si="1"/>
        <v>54000</v>
      </c>
      <c r="V11" s="27">
        <f t="shared" si="1"/>
        <v>54000</v>
      </c>
    </row>
    <row r="12" spans="1:23" ht="15" customHeight="1" x14ac:dyDescent="0.55000000000000004">
      <c r="A12" s="42" t="s">
        <v>136</v>
      </c>
      <c r="B12" s="48">
        <f>Data_KPIs!C9</f>
        <v>4200</v>
      </c>
      <c r="C12" s="48">
        <f>Data_KPIs!D9</f>
        <v>4350</v>
      </c>
      <c r="D12" s="48">
        <f>Data_KPIs!E9</f>
        <v>4480</v>
      </c>
      <c r="E12" s="48">
        <f>Data_KPIs!F9</f>
        <v>4620</v>
      </c>
      <c r="F12" s="48">
        <f>Data_KPIs!G9</f>
        <v>4810</v>
      </c>
      <c r="G12" s="49">
        <f>F12*(1+Inputs!$H$15)</f>
        <v>4975.8699707970263</v>
      </c>
      <c r="H12" s="49">
        <f>G12*(1+Inputs!$H$15)</f>
        <v>5147.459868249397</v>
      </c>
      <c r="I12" s="49">
        <f>H12*(1+Inputs!$H$15)</f>
        <v>5324.9669406039484</v>
      </c>
      <c r="J12" s="49">
        <f>I12*(1+Inputs!$H$15)</f>
        <v>5508.5952380952385</v>
      </c>
      <c r="K12" s="49">
        <f>J12*(1+Inputs!$H$15)</f>
        <v>5698.5558475080234</v>
      </c>
      <c r="L12" s="49">
        <f>K12*(1+Inputs!$H$15)</f>
        <v>5895.0671348284759</v>
      </c>
      <c r="M12" s="49">
        <f>L12*(1+Inputs!$H$15)</f>
        <v>6098.3549962630932</v>
      </c>
      <c r="P12" s="49">
        <f>Data_KPIs!$G$9*(1+Inputs!$H$15)</f>
        <v>4975.8699707970263</v>
      </c>
      <c r="Q12" s="49">
        <f>P12*(1+Inputs!$H$15)</f>
        <v>5147.459868249397</v>
      </c>
      <c r="R12" s="49">
        <f>Q12*(1+Inputs!$H$15)</f>
        <v>5324.9669406039484</v>
      </c>
      <c r="S12" s="49">
        <f>R12*(1+Inputs!$H$15)</f>
        <v>5508.5952380952385</v>
      </c>
      <c r="T12" s="49">
        <f>S12*(1+Inputs!$H$15)</f>
        <v>5698.5558475080234</v>
      </c>
      <c r="U12" s="49">
        <f>T12*(1+Inputs!$H$15)</f>
        <v>5895.0671348284759</v>
      </c>
      <c r="V12" s="49">
        <f>U12*(1+Inputs!$H$15)</f>
        <v>6098.3549962630932</v>
      </c>
    </row>
    <row r="13" spans="1:23" ht="15" customHeight="1" x14ac:dyDescent="0.55000000000000004">
      <c r="A13" s="42" t="s">
        <v>137</v>
      </c>
      <c r="B13" s="48">
        <f>Data_KPIs!C6</f>
        <v>7750</v>
      </c>
      <c r="C13" s="48">
        <f>Data_KPIs!D6</f>
        <v>7250</v>
      </c>
      <c r="D13" s="48">
        <f>Data_KPIs!E6</f>
        <v>8875</v>
      </c>
      <c r="E13" s="48">
        <f>Data_KPIs!F6</f>
        <v>6750</v>
      </c>
      <c r="F13" s="48">
        <f>Data_KPIs!G6</f>
        <v>6190</v>
      </c>
      <c r="G13" s="49">
        <f>F13*(1+Inputs!$H$11)</f>
        <v>6190</v>
      </c>
      <c r="H13" s="49">
        <f>G13*(1+Inputs!$H$11)</f>
        <v>6190</v>
      </c>
      <c r="I13" s="49">
        <f>H13*(1+Inputs!$H$11)</f>
        <v>6190</v>
      </c>
      <c r="J13" s="49">
        <f>I13*(1+Inputs!$H$11)</f>
        <v>6190</v>
      </c>
      <c r="K13" s="49">
        <f>J13*(1+Inputs!$H$11)</f>
        <v>6190</v>
      </c>
      <c r="L13" s="49">
        <f>K13*(1+Inputs!$H$11)</f>
        <v>6190</v>
      </c>
      <c r="M13" s="49">
        <f>L13*(1+Inputs!$H$11)</f>
        <v>6190</v>
      </c>
      <c r="P13" s="49">
        <f>Data_KPIs!$G$6*(1+Inputs!$H$11)</f>
        <v>6190</v>
      </c>
      <c r="Q13" s="49">
        <f>P13*(1+Inputs!$H$11)</f>
        <v>6190</v>
      </c>
      <c r="R13" s="49">
        <f>Q13*(1+Inputs!$H$11)</f>
        <v>6190</v>
      </c>
      <c r="S13" s="49">
        <f>R13*(1+Inputs!$H$11)</f>
        <v>6190</v>
      </c>
      <c r="T13" s="49">
        <f>S13*(1+Inputs!$H$11)</f>
        <v>6190</v>
      </c>
      <c r="U13" s="49">
        <f>T13*(1+Inputs!$H$11)</f>
        <v>6190</v>
      </c>
      <c r="V13" s="49">
        <f>U13*(1+Inputs!$H$11)</f>
        <v>6190</v>
      </c>
    </row>
    <row r="14" spans="1:23" x14ac:dyDescent="0.55000000000000004">
      <c r="B14" s="50"/>
      <c r="C14" s="50"/>
      <c r="D14" s="50"/>
      <c r="E14" s="50"/>
      <c r="F14" s="50"/>
    </row>
    <row r="15" spans="1:23" ht="15" customHeight="1" x14ac:dyDescent="0.55000000000000004">
      <c r="A15" s="3" t="s">
        <v>138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5" customHeight="1" x14ac:dyDescent="0.55000000000000004">
      <c r="A16" s="42" t="s">
        <v>139</v>
      </c>
      <c r="B16" s="48">
        <f>Data_Actuals!D5</f>
        <v>620</v>
      </c>
      <c r="C16" s="48">
        <f>Data_Actuals!E5</f>
        <v>580</v>
      </c>
      <c r="D16" s="48">
        <f>Data_Actuals!F5</f>
        <v>710</v>
      </c>
      <c r="E16" s="48">
        <f>Data_Actuals!G5</f>
        <v>540</v>
      </c>
      <c r="F16" s="48">
        <f>Data_Actuals!H5</f>
        <v>495</v>
      </c>
      <c r="G16" s="43">
        <f>G13*Inputs!$H$12/1000</f>
        <v>495.2</v>
      </c>
      <c r="H16" s="43">
        <f>H13*Inputs!$H$12/1000</f>
        <v>495.2</v>
      </c>
      <c r="I16" s="43">
        <f>I13*Inputs!$H$12/1000</f>
        <v>495.2</v>
      </c>
      <c r="J16" s="43">
        <f>J13*Inputs!$H$12/1000</f>
        <v>495.2</v>
      </c>
      <c r="K16" s="43">
        <f>K13*Inputs!$H$12/1000</f>
        <v>495.2</v>
      </c>
      <c r="L16" s="43">
        <f>L13*Inputs!$H$12/1000</f>
        <v>495.2</v>
      </c>
      <c r="M16" s="43">
        <f>M13*Inputs!$H$12/1000</f>
        <v>495.2</v>
      </c>
      <c r="N16" s="51">
        <f t="shared" ref="N16:N41" si="2">SUM(B16:M16)</f>
        <v>6411.3999999999987</v>
      </c>
      <c r="O16" s="52">
        <f>N16-(SUM(Data_Actuals!$D$5:$H$5)+SUM(G16:M16))</f>
        <v>0</v>
      </c>
      <c r="P16" s="43">
        <f>P13*Inputs!$H$12/1000</f>
        <v>495.2</v>
      </c>
      <c r="Q16" s="43">
        <f>Q13*Inputs!$H$12/1000</f>
        <v>495.2</v>
      </c>
      <c r="R16" s="43">
        <f>R13*Inputs!$H$12/1000</f>
        <v>495.2</v>
      </c>
      <c r="S16" s="43">
        <f>S13*Inputs!$H$12/1000</f>
        <v>495.2</v>
      </c>
      <c r="T16" s="43">
        <f>T13*Inputs!$H$12/1000</f>
        <v>495.2</v>
      </c>
      <c r="U16" s="43">
        <f>U13*Inputs!$H$12/1000</f>
        <v>495.2</v>
      </c>
      <c r="V16" s="43">
        <f>V13*Inputs!$H$12/1000</f>
        <v>495.2</v>
      </c>
      <c r="W16" s="51">
        <f>SUM(Data_Actuals!$D$5:$H$5)+SUM(P16:V16)</f>
        <v>6411.4</v>
      </c>
    </row>
    <row r="17" spans="1:23" ht="15" customHeight="1" x14ac:dyDescent="0.55000000000000004">
      <c r="A17" s="42" t="s">
        <v>140</v>
      </c>
      <c r="B17" s="48">
        <f>Data_Actuals!D6</f>
        <v>210</v>
      </c>
      <c r="C17" s="48">
        <f>Data_Actuals!E6</f>
        <v>218</v>
      </c>
      <c r="D17" s="48">
        <f>Data_Actuals!F6</f>
        <v>225</v>
      </c>
      <c r="E17" s="48">
        <f>Data_Actuals!G6</f>
        <v>233</v>
      </c>
      <c r="F17" s="48">
        <f>Data_Actuals!H6</f>
        <v>240</v>
      </c>
      <c r="G17" s="43">
        <f>F17*(1+Inputs!$H$14)</f>
        <v>248.14711389944188</v>
      </c>
      <c r="H17" s="43">
        <f>G17*(1+Inputs!$H$14)</f>
        <v>256.5707922359274</v>
      </c>
      <c r="I17" s="43">
        <f>H17*(1+Inputs!$H$14)</f>
        <v>265.28042335099462</v>
      </c>
      <c r="J17" s="43">
        <f>I17*(1+Inputs!$H$14)</f>
        <v>274.28571428571428</v>
      </c>
      <c r="K17" s="43">
        <f>J17*(1+Inputs!$H$14)</f>
        <v>283.59670159936212</v>
      </c>
      <c r="L17" s="43">
        <f>K17*(1+Inputs!$H$14)</f>
        <v>293.22376255534562</v>
      </c>
      <c r="M17" s="43">
        <f>L17*(1+Inputs!$H$14)</f>
        <v>303.17762668685106</v>
      </c>
      <c r="N17" s="51">
        <f t="shared" si="2"/>
        <v>3050.282134613637</v>
      </c>
      <c r="O17" s="52">
        <f>N17-(SUM(Data_Actuals!$D$6:$H$6)+SUM(G17:M17))</f>
        <v>0</v>
      </c>
      <c r="P17" s="43">
        <f>F17*(1+Inputs!$H$14)</f>
        <v>248.14711389944188</v>
      </c>
      <c r="Q17" s="43">
        <f>P17*(1+Inputs!$H$14)</f>
        <v>256.5707922359274</v>
      </c>
      <c r="R17" s="43">
        <f>Q17*(1+Inputs!$H$14)</f>
        <v>265.28042335099462</v>
      </c>
      <c r="S17" s="43">
        <f>R17*(1+Inputs!$H$14)</f>
        <v>274.28571428571428</v>
      </c>
      <c r="T17" s="43">
        <f>S17*(1+Inputs!$H$14)</f>
        <v>283.59670159936212</v>
      </c>
      <c r="U17" s="43">
        <f>T17*(1+Inputs!$H$14)</f>
        <v>293.22376255534562</v>
      </c>
      <c r="V17" s="43">
        <f>U17*(1+Inputs!$H$14)</f>
        <v>303.17762668685106</v>
      </c>
      <c r="W17" s="51">
        <f>SUM(Data_Actuals!$D$6:$H$6)+SUM(P17:V17)</f>
        <v>3050.282134613637</v>
      </c>
    </row>
    <row r="18" spans="1:23" ht="15" customHeight="1" x14ac:dyDescent="0.55000000000000004">
      <c r="A18" s="42" t="s">
        <v>141</v>
      </c>
      <c r="B18" s="48">
        <f>Data_Actuals!D7</f>
        <v>95</v>
      </c>
      <c r="C18" s="48">
        <f>Data_Actuals!E7</f>
        <v>88</v>
      </c>
      <c r="D18" s="48">
        <f>Data_Actuals!F7</f>
        <v>110</v>
      </c>
      <c r="E18" s="48">
        <f>Data_Actuals!G7</f>
        <v>80</v>
      </c>
      <c r="F18" s="48">
        <f>Data_Actuals!H7</f>
        <v>76</v>
      </c>
      <c r="G18" s="43">
        <f>G16*Inputs!$H$13</f>
        <v>75.499083191850602</v>
      </c>
      <c r="H18" s="43">
        <f>H16*Inputs!$H$13</f>
        <v>75.499083191850602</v>
      </c>
      <c r="I18" s="43">
        <f>I16*Inputs!$H$13</f>
        <v>75.499083191850602</v>
      </c>
      <c r="J18" s="43">
        <f>J16*Inputs!$H$13</f>
        <v>75.499083191850602</v>
      </c>
      <c r="K18" s="43">
        <f>K16*Inputs!$H$13</f>
        <v>75.499083191850602</v>
      </c>
      <c r="L18" s="43">
        <f>L16*Inputs!$H$13</f>
        <v>75.499083191850602</v>
      </c>
      <c r="M18" s="43">
        <f>M16*Inputs!$H$13</f>
        <v>75.499083191850602</v>
      </c>
      <c r="N18" s="51">
        <f t="shared" si="2"/>
        <v>977.49358234295391</v>
      </c>
      <c r="O18" s="52">
        <f>N18-(SUM(Data_Actuals!$D$7:$H$7)+SUM(G18:M18))</f>
        <v>0</v>
      </c>
      <c r="P18" s="43">
        <f>P16*Inputs!$H$13</f>
        <v>75.499083191850602</v>
      </c>
      <c r="Q18" s="43">
        <f>Q16*Inputs!$H$13</f>
        <v>75.499083191850602</v>
      </c>
      <c r="R18" s="43">
        <f>R16*Inputs!$H$13</f>
        <v>75.499083191850602</v>
      </c>
      <c r="S18" s="43">
        <f>S16*Inputs!$H$13</f>
        <v>75.499083191850602</v>
      </c>
      <c r="T18" s="43">
        <f>T16*Inputs!$H$13</f>
        <v>75.499083191850602</v>
      </c>
      <c r="U18" s="43">
        <f>U16*Inputs!$H$13</f>
        <v>75.499083191850602</v>
      </c>
      <c r="V18" s="43">
        <f>V16*Inputs!$H$13</f>
        <v>75.499083191850602</v>
      </c>
      <c r="W18" s="51">
        <f>SUM(Data_Actuals!$D$7:$H$7)+SUM(P18:V18)</f>
        <v>977.49358234295426</v>
      </c>
    </row>
    <row r="19" spans="1:23" ht="15" customHeight="1" x14ac:dyDescent="0.55000000000000004">
      <c r="A19" s="53" t="s">
        <v>142</v>
      </c>
      <c r="B19" s="54">
        <f t="shared" ref="B19:M19" si="3">SUM(B16:B18)</f>
        <v>925</v>
      </c>
      <c r="C19" s="54">
        <f t="shared" si="3"/>
        <v>886</v>
      </c>
      <c r="D19" s="54">
        <f t="shared" si="3"/>
        <v>1045</v>
      </c>
      <c r="E19" s="54">
        <f t="shared" si="3"/>
        <v>853</v>
      </c>
      <c r="F19" s="54">
        <f t="shared" si="3"/>
        <v>811</v>
      </c>
      <c r="G19" s="55">
        <f t="shared" si="3"/>
        <v>818.84619709129242</v>
      </c>
      <c r="H19" s="55">
        <f t="shared" si="3"/>
        <v>827.26987542777795</v>
      </c>
      <c r="I19" s="55">
        <f t="shared" si="3"/>
        <v>835.97950654284523</v>
      </c>
      <c r="J19" s="55">
        <f t="shared" si="3"/>
        <v>844.98479747756483</v>
      </c>
      <c r="K19" s="55">
        <f t="shared" si="3"/>
        <v>854.29578479121267</v>
      </c>
      <c r="L19" s="55">
        <f t="shared" si="3"/>
        <v>863.92284574719611</v>
      </c>
      <c r="M19" s="55">
        <f t="shared" si="3"/>
        <v>873.8767098787016</v>
      </c>
      <c r="N19" s="51">
        <f t="shared" si="2"/>
        <v>10439.17571695659</v>
      </c>
      <c r="O19" s="52">
        <f>N19-SUM(N16:N18)</f>
        <v>0</v>
      </c>
      <c r="P19" s="55">
        <f t="shared" ref="P19:W19" si="4">SUM(P16:P18)</f>
        <v>818.84619709129242</v>
      </c>
      <c r="Q19" s="55">
        <f t="shared" si="4"/>
        <v>827.26987542777795</v>
      </c>
      <c r="R19" s="55">
        <f t="shared" si="4"/>
        <v>835.97950654284523</v>
      </c>
      <c r="S19" s="55">
        <f t="shared" si="4"/>
        <v>844.98479747756483</v>
      </c>
      <c r="T19" s="55">
        <f t="shared" si="4"/>
        <v>854.29578479121267</v>
      </c>
      <c r="U19" s="55">
        <f t="shared" si="4"/>
        <v>863.92284574719611</v>
      </c>
      <c r="V19" s="55">
        <f t="shared" si="4"/>
        <v>873.8767098787016</v>
      </c>
      <c r="W19" s="51">
        <f t="shared" si="4"/>
        <v>10439.175716956592</v>
      </c>
    </row>
    <row r="20" spans="1:23" ht="15" customHeight="1" x14ac:dyDescent="0.55000000000000004">
      <c r="A20" s="42" t="s">
        <v>143</v>
      </c>
      <c r="B20" s="48">
        <f>Data_Actuals!D8</f>
        <v>380</v>
      </c>
      <c r="C20" s="48">
        <f>Data_Actuals!E8</f>
        <v>350</v>
      </c>
      <c r="D20" s="48">
        <f>Data_Actuals!F8</f>
        <v>445</v>
      </c>
      <c r="E20" s="48">
        <f>Data_Actuals!G8</f>
        <v>405</v>
      </c>
      <c r="F20" s="48">
        <f>Data_Actuals!H8</f>
        <v>510</v>
      </c>
      <c r="G20" s="43">
        <f>G12*G11/1000*Inputs!$H$16</f>
        <v>515.35001318709237</v>
      </c>
      <c r="H20" s="43">
        <f>H12*H11/1000*Inputs!$H$16</f>
        <v>533.12154991008401</v>
      </c>
      <c r="I20" s="43">
        <f>I12*I11/1000*Inputs!$H$16</f>
        <v>551.50592743915911</v>
      </c>
      <c r="J20" s="43">
        <f>J12*J11/1000*Inputs!$H$16</f>
        <v>570.52427922267668</v>
      </c>
      <c r="K20" s="43">
        <f>K12*K11/1000*Inputs!$H$16</f>
        <v>590.19846748331292</v>
      </c>
      <c r="L20" s="43">
        <f>L12*L11/1000*Inputs!$H$16</f>
        <v>610.55110834940581</v>
      </c>
      <c r="M20" s="43">
        <f>M12*M11/1000*Inputs!$H$16</f>
        <v>631.60559785294186</v>
      </c>
      <c r="N20" s="51">
        <f t="shared" si="2"/>
        <v>6092.8569434446727</v>
      </c>
      <c r="O20" s="52">
        <f>N20-(SUM(Data_Actuals!$D$8:$H$8)+SUM(G20:M20))</f>
        <v>0</v>
      </c>
      <c r="P20" s="43">
        <f>P12*P11/1000*Inputs!$H$16</f>
        <v>257.67500659354619</v>
      </c>
      <c r="Q20" s="43">
        <f>Q12*Q11/1000*Inputs!$H$16</f>
        <v>266.56077495504201</v>
      </c>
      <c r="R20" s="43">
        <f>R12*R11/1000*Inputs!$H$16</f>
        <v>275.75296371957955</v>
      </c>
      <c r="S20" s="43">
        <f>S12*S11/1000*Inputs!$H$16</f>
        <v>285.26213961133834</v>
      </c>
      <c r="T20" s="43">
        <f>T12*T11/1000*Inputs!$H$16</f>
        <v>295.09923374165646</v>
      </c>
      <c r="U20" s="43">
        <f>U12*U11/1000*Inputs!$H$16</f>
        <v>305.2755541747029</v>
      </c>
      <c r="V20" s="43">
        <f>V12*V11/1000*Inputs!$H$16</f>
        <v>315.80279892647093</v>
      </c>
      <c r="W20" s="51">
        <f>SUM(Data_Actuals!$D$8:$H$8)+SUM(P20:V20)</f>
        <v>4091.4284717223363</v>
      </c>
    </row>
    <row r="21" spans="1:23" ht="15" customHeight="1" x14ac:dyDescent="0.55000000000000004">
      <c r="A21" s="42" t="s">
        <v>144</v>
      </c>
      <c r="B21" s="48">
        <f>Data_Actuals!D9</f>
        <v>1250</v>
      </c>
      <c r="C21" s="48">
        <f>Data_Actuals!E9</f>
        <v>1280</v>
      </c>
      <c r="D21" s="48">
        <f>Data_Actuals!F9</f>
        <v>1310</v>
      </c>
      <c r="E21" s="48">
        <f>Data_Actuals!G9</f>
        <v>1345</v>
      </c>
      <c r="F21" s="48">
        <f>Data_Actuals!H9</f>
        <v>1380</v>
      </c>
      <c r="G21" s="43">
        <f>F21+Inputs!$H$18</f>
        <v>1412.5</v>
      </c>
      <c r="H21" s="43">
        <f>G21+Inputs!$H$18</f>
        <v>1445</v>
      </c>
      <c r="I21" s="43">
        <f>H21+Inputs!$H$18</f>
        <v>1477.5</v>
      </c>
      <c r="J21" s="43">
        <f>I21+Inputs!$H$18</f>
        <v>1510</v>
      </c>
      <c r="K21" s="43">
        <f>J21+Inputs!$H$18</f>
        <v>1542.5</v>
      </c>
      <c r="L21" s="43">
        <f>K21+Inputs!$H$18</f>
        <v>1575</v>
      </c>
      <c r="M21" s="43">
        <f>L21+Inputs!$H$18</f>
        <v>1607.5</v>
      </c>
      <c r="N21" s="51">
        <f t="shared" si="2"/>
        <v>17135</v>
      </c>
      <c r="O21" s="52">
        <f>N21-(SUM(Data_Actuals!$D$9:$H$9)+SUM(G21:M21))</f>
        <v>0</v>
      </c>
      <c r="P21" s="43">
        <f>F21+Inputs!$H$18</f>
        <v>1412.5</v>
      </c>
      <c r="Q21" s="43">
        <f>P21+Inputs!$H$18</f>
        <v>1445</v>
      </c>
      <c r="R21" s="43">
        <f>Q21+Inputs!$H$18</f>
        <v>1477.5</v>
      </c>
      <c r="S21" s="43">
        <f>R21+Inputs!$H$18</f>
        <v>1510</v>
      </c>
      <c r="T21" s="43">
        <f>S21+Inputs!$H$18</f>
        <v>1542.5</v>
      </c>
      <c r="U21" s="43">
        <f>T21+Inputs!$H$18</f>
        <v>1575</v>
      </c>
      <c r="V21" s="43">
        <f>U21+Inputs!$H$18</f>
        <v>1607.5</v>
      </c>
      <c r="W21" s="51">
        <f>SUM(Data_Actuals!$D$9:$H$9)+SUM(P21:V21)</f>
        <v>17135</v>
      </c>
    </row>
    <row r="22" spans="1:23" ht="15" customHeight="1" x14ac:dyDescent="0.55000000000000004">
      <c r="A22" s="42" t="s">
        <v>145</v>
      </c>
      <c r="B22" s="48">
        <f>Data_Actuals!D10</f>
        <v>640</v>
      </c>
      <c r="C22" s="48">
        <f>Data_Actuals!E10</f>
        <v>655</v>
      </c>
      <c r="D22" s="48">
        <f>Data_Actuals!F10</f>
        <v>620</v>
      </c>
      <c r="E22" s="48">
        <f>Data_Actuals!G10</f>
        <v>680</v>
      </c>
      <c r="F22" s="48">
        <f>Data_Actuals!H10</f>
        <v>705</v>
      </c>
      <c r="G22" s="43">
        <f>F22+Inputs!$H$19</f>
        <v>721.25</v>
      </c>
      <c r="H22" s="43">
        <f>G22+Inputs!$H$19</f>
        <v>737.5</v>
      </c>
      <c r="I22" s="43">
        <f>H22+Inputs!$H$19</f>
        <v>753.75</v>
      </c>
      <c r="J22" s="43">
        <f>I22+Inputs!$H$19</f>
        <v>770</v>
      </c>
      <c r="K22" s="43">
        <f>J22+Inputs!$H$19</f>
        <v>786.25</v>
      </c>
      <c r="L22" s="43">
        <f>K22+Inputs!$H$19</f>
        <v>802.5</v>
      </c>
      <c r="M22" s="43">
        <f>L22+Inputs!$H$19</f>
        <v>818.75</v>
      </c>
      <c r="N22" s="51">
        <f t="shared" si="2"/>
        <v>8690</v>
      </c>
      <c r="O22" s="52">
        <f>N22-(SUM(Data_Actuals!$D$10:$H$10)+SUM(G22:M22))</f>
        <v>0</v>
      </c>
      <c r="P22" s="43">
        <f>F22+Inputs!$H$19</f>
        <v>721.25</v>
      </c>
      <c r="Q22" s="43">
        <f>P22+Inputs!$H$19</f>
        <v>737.5</v>
      </c>
      <c r="R22" s="43">
        <f>Q22+Inputs!$H$19</f>
        <v>753.75</v>
      </c>
      <c r="S22" s="43">
        <f>R22+Inputs!$H$19</f>
        <v>770</v>
      </c>
      <c r="T22" s="43">
        <f>S22+Inputs!$H$19</f>
        <v>786.25</v>
      </c>
      <c r="U22" s="43">
        <f>T22+Inputs!$H$19</f>
        <v>802.5</v>
      </c>
      <c r="V22" s="43">
        <f>U22+Inputs!$H$19</f>
        <v>818.75</v>
      </c>
      <c r="W22" s="51">
        <f>SUM(Data_Actuals!$D$10:$H$10)+SUM(P22:V22)</f>
        <v>8690</v>
      </c>
    </row>
    <row r="23" spans="1:23" ht="15" customHeight="1" x14ac:dyDescent="0.55000000000000004">
      <c r="A23" s="53" t="s">
        <v>146</v>
      </c>
      <c r="B23" s="54">
        <f t="shared" ref="B23:M23" si="5">SUM(B20:B22)</f>
        <v>2270</v>
      </c>
      <c r="C23" s="54">
        <f t="shared" si="5"/>
        <v>2285</v>
      </c>
      <c r="D23" s="54">
        <f t="shared" si="5"/>
        <v>2375</v>
      </c>
      <c r="E23" s="54">
        <f t="shared" si="5"/>
        <v>2430</v>
      </c>
      <c r="F23" s="54">
        <f t="shared" si="5"/>
        <v>2595</v>
      </c>
      <c r="G23" s="55">
        <f t="shared" si="5"/>
        <v>2649.1000131870924</v>
      </c>
      <c r="H23" s="55">
        <f t="shared" si="5"/>
        <v>2715.621549910084</v>
      </c>
      <c r="I23" s="55">
        <f t="shared" si="5"/>
        <v>2782.7559274391592</v>
      </c>
      <c r="J23" s="55">
        <f t="shared" si="5"/>
        <v>2850.5242792226768</v>
      </c>
      <c r="K23" s="55">
        <f t="shared" si="5"/>
        <v>2918.9484674833129</v>
      </c>
      <c r="L23" s="55">
        <f t="shared" si="5"/>
        <v>2988.0511083494057</v>
      </c>
      <c r="M23" s="55">
        <f t="shared" si="5"/>
        <v>3057.8555978529421</v>
      </c>
      <c r="N23" s="51">
        <f t="shared" si="2"/>
        <v>31917.856943444676</v>
      </c>
      <c r="O23" s="52">
        <f>N23-SUM(N20:N22)</f>
        <v>0</v>
      </c>
      <c r="P23" s="55">
        <f t="shared" ref="P23:W23" si="6">SUM(P20:P22)</f>
        <v>2391.4250065935462</v>
      </c>
      <c r="Q23" s="55">
        <f t="shared" si="6"/>
        <v>2449.0607749550418</v>
      </c>
      <c r="R23" s="55">
        <f t="shared" si="6"/>
        <v>2507.0029637195794</v>
      </c>
      <c r="S23" s="55">
        <f t="shared" si="6"/>
        <v>2565.2621396113382</v>
      </c>
      <c r="T23" s="55">
        <f t="shared" si="6"/>
        <v>2623.8492337416565</v>
      </c>
      <c r="U23" s="55">
        <f t="shared" si="6"/>
        <v>2682.7755541747028</v>
      </c>
      <c r="V23" s="55">
        <f t="shared" si="6"/>
        <v>2742.052798926471</v>
      </c>
      <c r="W23" s="51">
        <f t="shared" si="6"/>
        <v>29916.428471722335</v>
      </c>
    </row>
    <row r="24" spans="1:23" ht="15" customHeight="1" x14ac:dyDescent="0.55000000000000004">
      <c r="A24" s="53" t="s">
        <v>147</v>
      </c>
      <c r="B24" s="54">
        <f t="shared" ref="B24:M24" si="7">B19+B23</f>
        <v>3195</v>
      </c>
      <c r="C24" s="54">
        <f t="shared" si="7"/>
        <v>3171</v>
      </c>
      <c r="D24" s="54">
        <f t="shared" si="7"/>
        <v>3420</v>
      </c>
      <c r="E24" s="54">
        <f t="shared" si="7"/>
        <v>3283</v>
      </c>
      <c r="F24" s="54">
        <f t="shared" si="7"/>
        <v>3406</v>
      </c>
      <c r="G24" s="55">
        <f t="shared" si="7"/>
        <v>3467.9462102783846</v>
      </c>
      <c r="H24" s="55">
        <f t="shared" si="7"/>
        <v>3542.8914253378621</v>
      </c>
      <c r="I24" s="55">
        <f t="shared" si="7"/>
        <v>3618.7354339820045</v>
      </c>
      <c r="J24" s="55">
        <f t="shared" si="7"/>
        <v>3695.5090767002416</v>
      </c>
      <c r="K24" s="55">
        <f t="shared" si="7"/>
        <v>3773.2442522745255</v>
      </c>
      <c r="L24" s="55">
        <f t="shared" si="7"/>
        <v>3851.973954096602</v>
      </c>
      <c r="M24" s="55">
        <f t="shared" si="7"/>
        <v>3931.7323077316437</v>
      </c>
      <c r="N24" s="51">
        <f t="shared" si="2"/>
        <v>42357.032660401266</v>
      </c>
      <c r="O24" s="52">
        <f>N24-(N19+N23)</f>
        <v>0</v>
      </c>
      <c r="P24" s="55">
        <f t="shared" ref="P24:W24" si="8">P19+P23</f>
        <v>3210.2712036848388</v>
      </c>
      <c r="Q24" s="55">
        <f t="shared" si="8"/>
        <v>3276.3306503828198</v>
      </c>
      <c r="R24" s="55">
        <f t="shared" si="8"/>
        <v>3342.9824702624246</v>
      </c>
      <c r="S24" s="55">
        <f t="shared" si="8"/>
        <v>3410.246937088903</v>
      </c>
      <c r="T24" s="55">
        <f t="shared" si="8"/>
        <v>3478.145018532869</v>
      </c>
      <c r="U24" s="55">
        <f t="shared" si="8"/>
        <v>3546.6983999218992</v>
      </c>
      <c r="V24" s="55">
        <f t="shared" si="8"/>
        <v>3615.9295088051726</v>
      </c>
      <c r="W24" s="51">
        <f t="shared" si="8"/>
        <v>40355.604188678924</v>
      </c>
    </row>
    <row r="25" spans="1:23" ht="15" customHeight="1" x14ac:dyDescent="0.55000000000000004">
      <c r="A25" s="42" t="s">
        <v>148</v>
      </c>
      <c r="B25" s="48">
        <f>Data_Actuals!D12</f>
        <v>430</v>
      </c>
      <c r="C25" s="48">
        <f>Data_Actuals!E12</f>
        <v>405</v>
      </c>
      <c r="D25" s="48">
        <f>Data_Actuals!F12</f>
        <v>495</v>
      </c>
      <c r="E25" s="48">
        <f>Data_Actuals!G12</f>
        <v>380</v>
      </c>
      <c r="F25" s="48">
        <f>Data_Actuals!H12</f>
        <v>360</v>
      </c>
      <c r="G25" s="43">
        <f>(G16+G18)*Inputs!$H$22</f>
        <v>348.66525413979076</v>
      </c>
      <c r="H25" s="43">
        <f>(H16+H18)*Inputs!$H$22</f>
        <v>348.66525413979076</v>
      </c>
      <c r="I25" s="43">
        <f>(I16+I18)*Inputs!$H$22</f>
        <v>348.66525413979076</v>
      </c>
      <c r="J25" s="43">
        <f>(J16+J18)*Inputs!$H$22</f>
        <v>348.66525413979076</v>
      </c>
      <c r="K25" s="43">
        <f>(K16+K18)*Inputs!$H$22</f>
        <v>348.66525413979076</v>
      </c>
      <c r="L25" s="43">
        <f>(L16+L18)*Inputs!$H$22</f>
        <v>348.66525413979076</v>
      </c>
      <c r="M25" s="43">
        <f>(M16+M18)*Inputs!$H$22</f>
        <v>348.66525413979076</v>
      </c>
      <c r="N25" s="51">
        <f t="shared" si="2"/>
        <v>4510.6567789785349</v>
      </c>
      <c r="O25" s="52">
        <f>N25-(SUM(Data_Actuals!$D$12:$H$12)+SUM(G25:M25))</f>
        <v>0</v>
      </c>
      <c r="P25" s="43">
        <f>(P16+P18)*Inputs!$H$22</f>
        <v>348.66525413979076</v>
      </c>
      <c r="Q25" s="43">
        <f>(Q16+Q18)*Inputs!$H$22</f>
        <v>348.66525413979076</v>
      </c>
      <c r="R25" s="43">
        <f>(R16+R18)*Inputs!$H$22</f>
        <v>348.66525413979076</v>
      </c>
      <c r="S25" s="43">
        <f>(S16+S18)*Inputs!$H$22</f>
        <v>348.66525413979076</v>
      </c>
      <c r="T25" s="43">
        <f>(T16+T18)*Inputs!$H$22</f>
        <v>348.66525413979076</v>
      </c>
      <c r="U25" s="43">
        <f>(U16+U18)*Inputs!$H$22</f>
        <v>348.66525413979076</v>
      </c>
      <c r="V25" s="43">
        <f>(V16+V18)*Inputs!$H$22</f>
        <v>348.66525413979076</v>
      </c>
      <c r="W25" s="51">
        <f>SUM(Data_Actuals!$D$12:$H$12)+SUM(P25:V25)</f>
        <v>4510.6567789785349</v>
      </c>
    </row>
    <row r="26" spans="1:23" ht="15" customHeight="1" x14ac:dyDescent="0.55000000000000004">
      <c r="A26" s="42" t="s">
        <v>149</v>
      </c>
      <c r="B26" s="48">
        <f>Data_Actuals!D13</f>
        <v>320</v>
      </c>
      <c r="C26" s="48">
        <f>Data_Actuals!E13</f>
        <v>330</v>
      </c>
      <c r="D26" s="48">
        <f>Data_Actuals!F13</f>
        <v>315</v>
      </c>
      <c r="E26" s="48">
        <f>Data_Actuals!G13</f>
        <v>345</v>
      </c>
      <c r="F26" s="48">
        <f>Data_Actuals!H13</f>
        <v>360</v>
      </c>
      <c r="G26" s="43">
        <f>G23*Inputs!$H$23</f>
        <v>370.19821938678143</v>
      </c>
      <c r="H26" s="43">
        <f>H23*Inputs!$H$23</f>
        <v>379.49426495815891</v>
      </c>
      <c r="I26" s="43">
        <f>I23*Inputs!$H$23</f>
        <v>388.87595190738182</v>
      </c>
      <c r="J26" s="43">
        <f>J23*Inputs!$H$23</f>
        <v>398.34623352610129</v>
      </c>
      <c r="K26" s="43">
        <f>K23*Inputs!$H$23</f>
        <v>407.90816494846331</v>
      </c>
      <c r="L26" s="43">
        <f>L23*Inputs!$H$23</f>
        <v>417.56490666308622</v>
      </c>
      <c r="M26" s="43">
        <f>M23*Inputs!$H$23</f>
        <v>427.31972814614636</v>
      </c>
      <c r="N26" s="51">
        <f t="shared" si="2"/>
        <v>4459.7074695361198</v>
      </c>
      <c r="O26" s="52">
        <f>N26-(SUM(Data_Actuals!$D$13:$H$13)+SUM(G26:M26))</f>
        <v>0</v>
      </c>
      <c r="P26" s="43">
        <f>P23*Inputs!$H$23</f>
        <v>334.18945107053929</v>
      </c>
      <c r="Q26" s="43">
        <f>Q23*Inputs!$H$23</f>
        <v>342.24375582090801</v>
      </c>
      <c r="R26" s="43">
        <f>R23*Inputs!$H$23</f>
        <v>350.34088126019947</v>
      </c>
      <c r="S26" s="43">
        <f>S23*Inputs!$H$23</f>
        <v>358.48230403423923</v>
      </c>
      <c r="T26" s="43">
        <f>T23*Inputs!$H$23</f>
        <v>366.66955171010034</v>
      </c>
      <c r="U26" s="43">
        <f>U23*Inputs!$H$23</f>
        <v>374.9042045320918</v>
      </c>
      <c r="V26" s="43">
        <f>V23*Inputs!$H$23</f>
        <v>383.1878972383019</v>
      </c>
      <c r="W26" s="51">
        <f>SUM(Data_Actuals!$D$13:$H$13)+SUM(P26:V26)</f>
        <v>4180.0180456663802</v>
      </c>
    </row>
    <row r="27" spans="1:23" ht="15" customHeight="1" x14ac:dyDescent="0.55000000000000004">
      <c r="A27" s="53" t="s">
        <v>150</v>
      </c>
      <c r="B27" s="54">
        <f t="shared" ref="B27:M27" si="9">B24-B25-B26</f>
        <v>2445</v>
      </c>
      <c r="C27" s="54">
        <f t="shared" si="9"/>
        <v>2436</v>
      </c>
      <c r="D27" s="54">
        <f t="shared" si="9"/>
        <v>2610</v>
      </c>
      <c r="E27" s="54">
        <f t="shared" si="9"/>
        <v>2558</v>
      </c>
      <c r="F27" s="54">
        <f t="shared" si="9"/>
        <v>2686</v>
      </c>
      <c r="G27" s="55">
        <f t="shared" si="9"/>
        <v>2749.0827367518123</v>
      </c>
      <c r="H27" s="55">
        <f t="shared" si="9"/>
        <v>2814.7319062399124</v>
      </c>
      <c r="I27" s="55">
        <f t="shared" si="9"/>
        <v>2881.1942279348318</v>
      </c>
      <c r="J27" s="55">
        <f t="shared" si="9"/>
        <v>2948.4975890343494</v>
      </c>
      <c r="K27" s="55">
        <f t="shared" si="9"/>
        <v>3016.6708331862715</v>
      </c>
      <c r="L27" s="55">
        <f t="shared" si="9"/>
        <v>3085.743793293725</v>
      </c>
      <c r="M27" s="55">
        <f t="shared" si="9"/>
        <v>3155.7473254457068</v>
      </c>
      <c r="N27" s="51">
        <f t="shared" si="2"/>
        <v>33386.668411886611</v>
      </c>
      <c r="O27" s="52">
        <f>N27-(N24-N25-N26)</f>
        <v>0</v>
      </c>
      <c r="P27" s="55">
        <f t="shared" ref="P27:W27" si="10">P24-P25-P26</f>
        <v>2527.4164984745089</v>
      </c>
      <c r="Q27" s="55">
        <f t="shared" si="10"/>
        <v>2585.4216404221211</v>
      </c>
      <c r="R27" s="55">
        <f t="shared" si="10"/>
        <v>2643.9763348624347</v>
      </c>
      <c r="S27" s="55">
        <f t="shared" si="10"/>
        <v>2703.0993789148729</v>
      </c>
      <c r="T27" s="55">
        <f t="shared" si="10"/>
        <v>2762.8102126829781</v>
      </c>
      <c r="U27" s="55">
        <f t="shared" si="10"/>
        <v>2823.1289412500169</v>
      </c>
      <c r="V27" s="55">
        <f t="shared" si="10"/>
        <v>2884.07635742708</v>
      </c>
      <c r="W27" s="51">
        <f t="shared" si="10"/>
        <v>31664.929364034011</v>
      </c>
    </row>
    <row r="28" spans="1:23" ht="15" customHeight="1" x14ac:dyDescent="0.55000000000000004">
      <c r="A28" s="42" t="s">
        <v>151</v>
      </c>
      <c r="B28" s="48">
        <f>Data_Actuals!D14</f>
        <v>1850</v>
      </c>
      <c r="C28" s="48">
        <f>Data_Actuals!E14</f>
        <v>1880</v>
      </c>
      <c r="D28" s="48">
        <f>Data_Actuals!F14</f>
        <v>1910</v>
      </c>
      <c r="E28" s="48">
        <f>Data_Actuals!G14</f>
        <v>1940</v>
      </c>
      <c r="F28" s="48">
        <f>Data_Actuals!H14</f>
        <v>1975</v>
      </c>
      <c r="G28" s="43">
        <f>F28+Inputs!$H$24</f>
        <v>2006.25</v>
      </c>
      <c r="H28" s="43">
        <f>G28+Inputs!$H$24</f>
        <v>2037.5</v>
      </c>
      <c r="I28" s="43">
        <f>H28+Inputs!$H$24</f>
        <v>2068.75</v>
      </c>
      <c r="J28" s="43">
        <f>I28+Inputs!$H$24</f>
        <v>2100</v>
      </c>
      <c r="K28" s="43">
        <f>J28+Inputs!$H$24</f>
        <v>2131.25</v>
      </c>
      <c r="L28" s="43">
        <f>K28+Inputs!$H$24</f>
        <v>2162.5</v>
      </c>
      <c r="M28" s="43">
        <f>L28+Inputs!$H$24</f>
        <v>2193.75</v>
      </c>
      <c r="N28" s="51">
        <f t="shared" si="2"/>
        <v>24255</v>
      </c>
      <c r="O28" s="52">
        <f>N28-(SUM(Data_Actuals!$D$14:$H$14)+SUM(G28:M28))</f>
        <v>0</v>
      </c>
      <c r="P28" s="43">
        <f>F28+Inputs!$H$24</f>
        <v>2006.25</v>
      </c>
      <c r="Q28" s="43">
        <f>P28+Inputs!$H$24</f>
        <v>2037.5</v>
      </c>
      <c r="R28" s="43">
        <f>Q28+Inputs!$H$24</f>
        <v>2068.75</v>
      </c>
      <c r="S28" s="43">
        <f>R28+Inputs!$H$24</f>
        <v>2100</v>
      </c>
      <c r="T28" s="43">
        <f>S28+Inputs!$H$24</f>
        <v>2131.25</v>
      </c>
      <c r="U28" s="43">
        <f>T28+Inputs!$H$24</f>
        <v>2162.5</v>
      </c>
      <c r="V28" s="43">
        <f>U28+Inputs!$H$24</f>
        <v>2193.75</v>
      </c>
      <c r="W28" s="51">
        <f>SUM(Data_Actuals!$D$14:$H$14)+SUM(P28:V28)</f>
        <v>24255</v>
      </c>
    </row>
    <row r="29" spans="1:23" ht="15" customHeight="1" x14ac:dyDescent="0.55000000000000004">
      <c r="A29" s="42" t="s">
        <v>152</v>
      </c>
      <c r="B29" s="48">
        <f>Data_Actuals!D15</f>
        <v>540</v>
      </c>
      <c r="C29" s="48">
        <f>Data_Actuals!E15</f>
        <v>555</v>
      </c>
      <c r="D29" s="48">
        <f>Data_Actuals!F15</f>
        <v>560</v>
      </c>
      <c r="E29" s="48">
        <f>Data_Actuals!G15</f>
        <v>575</v>
      </c>
      <c r="F29" s="48">
        <f>Data_Actuals!H15</f>
        <v>590</v>
      </c>
      <c r="G29" s="43">
        <f>F29+Inputs!$H$25</f>
        <v>602.5</v>
      </c>
      <c r="H29" s="43">
        <f>G29+Inputs!$H$25</f>
        <v>615</v>
      </c>
      <c r="I29" s="43">
        <f>H29+Inputs!$H$25</f>
        <v>627.5</v>
      </c>
      <c r="J29" s="43">
        <f>I29+Inputs!$H$25</f>
        <v>640</v>
      </c>
      <c r="K29" s="43">
        <f>J29+Inputs!$H$25</f>
        <v>652.5</v>
      </c>
      <c r="L29" s="43">
        <f>K29+Inputs!$H$25</f>
        <v>665</v>
      </c>
      <c r="M29" s="43">
        <f>L29+Inputs!$H$25</f>
        <v>677.5</v>
      </c>
      <c r="N29" s="51">
        <f t="shared" si="2"/>
        <v>7300</v>
      </c>
      <c r="O29" s="52">
        <f>N29-(SUM(Data_Actuals!$D$15:$H$15)+SUM(G29:M29))</f>
        <v>0</v>
      </c>
      <c r="P29" s="43">
        <f>F29+Inputs!$H$25</f>
        <v>602.5</v>
      </c>
      <c r="Q29" s="43">
        <f>P29+Inputs!$H$25</f>
        <v>615</v>
      </c>
      <c r="R29" s="43">
        <f>Q29+Inputs!$H$25</f>
        <v>627.5</v>
      </c>
      <c r="S29" s="43">
        <f>R29+Inputs!$H$25</f>
        <v>640</v>
      </c>
      <c r="T29" s="43">
        <f>S29+Inputs!$H$25</f>
        <v>652.5</v>
      </c>
      <c r="U29" s="43">
        <f>T29+Inputs!$H$25</f>
        <v>665</v>
      </c>
      <c r="V29" s="43">
        <f>U29+Inputs!$H$25</f>
        <v>677.5</v>
      </c>
      <c r="W29" s="51">
        <f>SUM(Data_Actuals!$D$15:$H$15)+SUM(P29:V29)</f>
        <v>7300</v>
      </c>
    </row>
    <row r="30" spans="1:23" ht="15" customHeight="1" x14ac:dyDescent="0.55000000000000004">
      <c r="A30" s="42" t="s">
        <v>153</v>
      </c>
      <c r="B30" s="48">
        <f>Data_Actuals!D16</f>
        <v>420</v>
      </c>
      <c r="C30" s="48">
        <f>Data_Actuals!E16</f>
        <v>425</v>
      </c>
      <c r="D30" s="48">
        <f>Data_Actuals!F16</f>
        <v>430</v>
      </c>
      <c r="E30" s="48">
        <f>Data_Actuals!G16</f>
        <v>440</v>
      </c>
      <c r="F30" s="48">
        <f>Data_Actuals!H16</f>
        <v>450</v>
      </c>
      <c r="G30" s="43">
        <f>F30+Inputs!$H$26</f>
        <v>457.5</v>
      </c>
      <c r="H30" s="43">
        <f>G30+Inputs!$H$26</f>
        <v>465</v>
      </c>
      <c r="I30" s="43">
        <f>H30+Inputs!$H$26</f>
        <v>472.5</v>
      </c>
      <c r="J30" s="43">
        <f>I30+Inputs!$H$26</f>
        <v>480</v>
      </c>
      <c r="K30" s="43">
        <f>J30+Inputs!$H$26</f>
        <v>487.5</v>
      </c>
      <c r="L30" s="43">
        <f>K30+Inputs!$H$26</f>
        <v>495</v>
      </c>
      <c r="M30" s="43">
        <f>L30+Inputs!$H$26</f>
        <v>502.5</v>
      </c>
      <c r="N30" s="51">
        <f t="shared" si="2"/>
        <v>5525</v>
      </c>
      <c r="O30" s="52">
        <f>N30-(SUM(Data_Actuals!$D$16:$H$16)+SUM(G30:M30))</f>
        <v>0</v>
      </c>
      <c r="P30" s="43">
        <f>F30+Inputs!$H$26</f>
        <v>457.5</v>
      </c>
      <c r="Q30" s="43">
        <f>P30+Inputs!$H$26</f>
        <v>465</v>
      </c>
      <c r="R30" s="43">
        <f>Q30+Inputs!$H$26</f>
        <v>472.5</v>
      </c>
      <c r="S30" s="43">
        <f>R30+Inputs!$H$26</f>
        <v>480</v>
      </c>
      <c r="T30" s="43">
        <f>S30+Inputs!$H$26</f>
        <v>487.5</v>
      </c>
      <c r="U30" s="43">
        <f>T30+Inputs!$H$26</f>
        <v>495</v>
      </c>
      <c r="V30" s="43">
        <f>U30+Inputs!$H$26</f>
        <v>502.5</v>
      </c>
      <c r="W30" s="51">
        <f>SUM(Data_Actuals!$D$16:$H$16)+SUM(P30:V30)</f>
        <v>5525</v>
      </c>
    </row>
    <row r="31" spans="1:23" ht="15" customHeight="1" x14ac:dyDescent="0.55000000000000004">
      <c r="A31" s="42" t="s">
        <v>154</v>
      </c>
      <c r="B31" s="48">
        <f>Data_Actuals!D17</f>
        <v>285</v>
      </c>
      <c r="C31" s="48">
        <f>Data_Actuals!E17</f>
        <v>295</v>
      </c>
      <c r="D31" s="48">
        <f>Data_Actuals!F17</f>
        <v>340</v>
      </c>
      <c r="E31" s="48">
        <f>Data_Actuals!G17</f>
        <v>410</v>
      </c>
      <c r="F31" s="48">
        <f>Data_Actuals!H17</f>
        <v>480</v>
      </c>
      <c r="G31" s="43">
        <f>Inputs!$H$27</f>
        <v>480</v>
      </c>
      <c r="H31" s="43">
        <f>Inputs!$H$27</f>
        <v>480</v>
      </c>
      <c r="I31" s="43">
        <f>Inputs!$H$27</f>
        <v>480</v>
      </c>
      <c r="J31" s="43">
        <f>Inputs!$H$27</f>
        <v>480</v>
      </c>
      <c r="K31" s="43">
        <f>Inputs!$H$27</f>
        <v>480</v>
      </c>
      <c r="L31" s="43">
        <f>Inputs!$H$27</f>
        <v>480</v>
      </c>
      <c r="M31" s="43">
        <f>Inputs!$H$27</f>
        <v>480</v>
      </c>
      <c r="N31" s="51">
        <f t="shared" si="2"/>
        <v>5170</v>
      </c>
      <c r="O31" s="52">
        <f>N31-(SUM(Data_Actuals!$D$17:$H$17)+SUM(G31:M31))</f>
        <v>0</v>
      </c>
      <c r="P31" s="43">
        <f>Inputs!$H$27</f>
        <v>480</v>
      </c>
      <c r="Q31" s="43">
        <f>Inputs!$H$27</f>
        <v>480</v>
      </c>
      <c r="R31" s="43">
        <f>Inputs!$H$27</f>
        <v>480</v>
      </c>
      <c r="S31" s="43">
        <f>Inputs!$H$27</f>
        <v>480</v>
      </c>
      <c r="T31" s="43">
        <f>Inputs!$H$27</f>
        <v>480</v>
      </c>
      <c r="U31" s="43">
        <f>Inputs!$H$27</f>
        <v>480</v>
      </c>
      <c r="V31" s="43">
        <f>Inputs!$H$27</f>
        <v>480</v>
      </c>
      <c r="W31" s="51">
        <f>SUM(Data_Actuals!$D$17:$H$17)+SUM(P31:V31)</f>
        <v>5170</v>
      </c>
    </row>
    <row r="32" spans="1:23" ht="15" customHeight="1" x14ac:dyDescent="0.55000000000000004">
      <c r="A32" s="42" t="s">
        <v>155</v>
      </c>
      <c r="B32" s="48">
        <f>Data_Actuals!D18</f>
        <v>180</v>
      </c>
      <c r="C32" s="48">
        <f>Data_Actuals!E18</f>
        <v>165</v>
      </c>
      <c r="D32" s="48">
        <f>Data_Actuals!F18</f>
        <v>220</v>
      </c>
      <c r="E32" s="48">
        <f>Data_Actuals!G18</f>
        <v>195</v>
      </c>
      <c r="F32" s="48">
        <f>Data_Actuals!H18</f>
        <v>240</v>
      </c>
      <c r="G32" s="43">
        <f>Data_Budget!$I$18</f>
        <v>225</v>
      </c>
      <c r="H32" s="43">
        <f>Data_Budget!$J$18</f>
        <v>225</v>
      </c>
      <c r="I32" s="43">
        <f>Data_Budget!$K$18</f>
        <v>225</v>
      </c>
      <c r="J32" s="43">
        <f>Data_Budget!$L$18</f>
        <v>250</v>
      </c>
      <c r="K32" s="43">
        <f>Data_Budget!$M$18</f>
        <v>250</v>
      </c>
      <c r="L32" s="43">
        <f>Data_Budget!$N$18</f>
        <v>250</v>
      </c>
      <c r="M32" s="43">
        <f>Data_Budget!$O$18</f>
        <v>275</v>
      </c>
      <c r="N32" s="51">
        <f t="shared" si="2"/>
        <v>2700</v>
      </c>
      <c r="O32" s="52">
        <f>N32-(SUM(Data_Actuals!$D$18:$H$18)+SUM(G32:M32))</f>
        <v>0</v>
      </c>
      <c r="P32" s="43">
        <f>Data_Budget!$I$18</f>
        <v>225</v>
      </c>
      <c r="Q32" s="43">
        <f>Data_Budget!$J$18</f>
        <v>225</v>
      </c>
      <c r="R32" s="43">
        <f>Data_Budget!$K$18</f>
        <v>225</v>
      </c>
      <c r="S32" s="43">
        <f>Data_Budget!$L$18</f>
        <v>250</v>
      </c>
      <c r="T32" s="43">
        <f>Data_Budget!$M$18</f>
        <v>250</v>
      </c>
      <c r="U32" s="43">
        <f>Data_Budget!$N$18</f>
        <v>250</v>
      </c>
      <c r="V32" s="43">
        <f>Data_Budget!$O$18</f>
        <v>275</v>
      </c>
      <c r="W32" s="51">
        <f>SUM(Data_Actuals!$D$18:$H$18)+SUM(P32:V32)</f>
        <v>2700</v>
      </c>
    </row>
    <row r="33" spans="1:23" ht="15" customHeight="1" x14ac:dyDescent="0.55000000000000004">
      <c r="A33" s="42" t="s">
        <v>156</v>
      </c>
      <c r="B33" s="48">
        <f>Data_Actuals!D19</f>
        <v>65</v>
      </c>
      <c r="C33" s="48">
        <f>Data_Actuals!E19</f>
        <v>48</v>
      </c>
      <c r="D33" s="48">
        <f>Data_Actuals!F19</f>
        <v>120</v>
      </c>
      <c r="E33" s="48">
        <f>Data_Actuals!G19</f>
        <v>95</v>
      </c>
      <c r="F33" s="48">
        <f>Data_Actuals!H19</f>
        <v>175</v>
      </c>
      <c r="G33" s="43">
        <f>Data_Budget!$I$19</f>
        <v>150</v>
      </c>
      <c r="H33" s="43">
        <f>Data_Budget!$J$19</f>
        <v>80</v>
      </c>
      <c r="I33" s="43">
        <f>Data_Budget!$K$19</f>
        <v>80</v>
      </c>
      <c r="J33" s="43">
        <f>Data_Budget!$L$19</f>
        <v>90</v>
      </c>
      <c r="K33" s="43">
        <f>Data_Budget!$M$19</f>
        <v>80</v>
      </c>
      <c r="L33" s="43">
        <f>Data_Budget!$N$19</f>
        <v>80</v>
      </c>
      <c r="M33" s="43">
        <f>Data_Budget!$O$19</f>
        <v>100</v>
      </c>
      <c r="N33" s="51">
        <f t="shared" si="2"/>
        <v>1163</v>
      </c>
      <c r="O33" s="52">
        <f>N33-(SUM(Data_Actuals!$D$19:$H$19)+SUM(G33:M33))</f>
        <v>0</v>
      </c>
      <c r="P33" s="43">
        <f>Data_Budget!$I$19</f>
        <v>150</v>
      </c>
      <c r="Q33" s="43">
        <f>Data_Budget!$J$19</f>
        <v>80</v>
      </c>
      <c r="R33" s="43">
        <f>Data_Budget!$K$19</f>
        <v>80</v>
      </c>
      <c r="S33" s="43">
        <f>Data_Budget!$L$19</f>
        <v>90</v>
      </c>
      <c r="T33" s="43">
        <f>Data_Budget!$M$19</f>
        <v>80</v>
      </c>
      <c r="U33" s="43">
        <f>Data_Budget!$N$19</f>
        <v>80</v>
      </c>
      <c r="V33" s="43">
        <f>Data_Budget!$O$19</f>
        <v>100</v>
      </c>
      <c r="W33" s="51">
        <f>SUM(Data_Actuals!$D$19:$H$19)+SUM(P33:V33)</f>
        <v>1163</v>
      </c>
    </row>
    <row r="34" spans="1:23" ht="15" customHeight="1" x14ac:dyDescent="0.55000000000000004">
      <c r="A34" s="42" t="s">
        <v>157</v>
      </c>
      <c r="B34" s="48">
        <f>Data_Actuals!D20</f>
        <v>95</v>
      </c>
      <c r="C34" s="48">
        <f>Data_Actuals!E20</f>
        <v>110</v>
      </c>
      <c r="D34" s="48">
        <f>Data_Actuals!F20</f>
        <v>140</v>
      </c>
      <c r="E34" s="48">
        <f>Data_Actuals!G20</f>
        <v>180</v>
      </c>
      <c r="F34" s="48">
        <f>Data_Actuals!H20</f>
        <v>165</v>
      </c>
      <c r="G34" s="43">
        <f>Data_Budget!$I$20</f>
        <v>140</v>
      </c>
      <c r="H34" s="43">
        <f>Data_Budget!$J$20</f>
        <v>120</v>
      </c>
      <c r="I34" s="43">
        <f>Data_Budget!$K$20</f>
        <v>120</v>
      </c>
      <c r="J34" s="43">
        <f>Data_Budget!$L$20</f>
        <v>140</v>
      </c>
      <c r="K34" s="43">
        <f>Data_Budget!$M$20</f>
        <v>120</v>
      </c>
      <c r="L34" s="43">
        <f>Data_Budget!$N$20</f>
        <v>120</v>
      </c>
      <c r="M34" s="43">
        <f>Data_Budget!$O$20</f>
        <v>160</v>
      </c>
      <c r="N34" s="51">
        <f t="shared" si="2"/>
        <v>1610</v>
      </c>
      <c r="O34" s="52">
        <f>N34-(SUM(Data_Actuals!$D$20:$H$20)+SUM(G34:M34))</f>
        <v>0</v>
      </c>
      <c r="P34" s="43">
        <f>Data_Budget!$I$20</f>
        <v>140</v>
      </c>
      <c r="Q34" s="43">
        <f>Data_Budget!$J$20</f>
        <v>120</v>
      </c>
      <c r="R34" s="43">
        <f>Data_Budget!$K$20</f>
        <v>120</v>
      </c>
      <c r="S34" s="43">
        <f>Data_Budget!$L$20</f>
        <v>140</v>
      </c>
      <c r="T34" s="43">
        <f>Data_Budget!$M$20</f>
        <v>120</v>
      </c>
      <c r="U34" s="43">
        <f>Data_Budget!$N$20</f>
        <v>120</v>
      </c>
      <c r="V34" s="43">
        <f>Data_Budget!$O$20</f>
        <v>160</v>
      </c>
      <c r="W34" s="51">
        <f>SUM(Data_Actuals!$D$20:$H$20)+SUM(P34:V34)</f>
        <v>1610</v>
      </c>
    </row>
    <row r="35" spans="1:23" ht="15" customHeight="1" x14ac:dyDescent="0.55000000000000004">
      <c r="A35" s="42" t="s">
        <v>158</v>
      </c>
      <c r="B35" s="48">
        <f>Data_Actuals!D21</f>
        <v>78</v>
      </c>
      <c r="C35" s="48">
        <f>Data_Actuals!E21</f>
        <v>82</v>
      </c>
      <c r="D35" s="48">
        <f>Data_Actuals!F21</f>
        <v>85</v>
      </c>
      <c r="E35" s="48">
        <f>Data_Actuals!G21</f>
        <v>88</v>
      </c>
      <c r="F35" s="48">
        <f>Data_Actuals!H21</f>
        <v>92</v>
      </c>
      <c r="G35" s="43">
        <f>Data_Budget!$I$21</f>
        <v>84</v>
      </c>
      <c r="H35" s="43">
        <f>Data_Budget!$J$21</f>
        <v>86</v>
      </c>
      <c r="I35" s="43">
        <f>Data_Budget!$K$21</f>
        <v>86</v>
      </c>
      <c r="J35" s="43">
        <f>Data_Budget!$L$21</f>
        <v>88</v>
      </c>
      <c r="K35" s="43">
        <f>Data_Budget!$M$21</f>
        <v>88</v>
      </c>
      <c r="L35" s="43">
        <f>Data_Budget!$N$21</f>
        <v>90</v>
      </c>
      <c r="M35" s="43">
        <f>Data_Budget!$O$21</f>
        <v>90</v>
      </c>
      <c r="N35" s="51">
        <f t="shared" si="2"/>
        <v>1037</v>
      </c>
      <c r="O35" s="52">
        <f>N35-(SUM(Data_Actuals!$D$21:$H$21)+SUM(G35:M35))</f>
        <v>0</v>
      </c>
      <c r="P35" s="43">
        <f>Data_Budget!$I$21</f>
        <v>84</v>
      </c>
      <c r="Q35" s="43">
        <f>Data_Budget!$J$21</f>
        <v>86</v>
      </c>
      <c r="R35" s="43">
        <f>Data_Budget!$K$21</f>
        <v>86</v>
      </c>
      <c r="S35" s="43">
        <f>Data_Budget!$L$21</f>
        <v>88</v>
      </c>
      <c r="T35" s="43">
        <f>Data_Budget!$M$21</f>
        <v>88</v>
      </c>
      <c r="U35" s="43">
        <f>Data_Budget!$N$21</f>
        <v>90</v>
      </c>
      <c r="V35" s="43">
        <f>Data_Budget!$O$21</f>
        <v>90</v>
      </c>
      <c r="W35" s="51">
        <f>SUM(Data_Actuals!$D$21:$H$21)+SUM(P35:V35)</f>
        <v>1037</v>
      </c>
    </row>
    <row r="36" spans="1:23" ht="15" customHeight="1" x14ac:dyDescent="0.55000000000000004">
      <c r="A36" s="42" t="s">
        <v>159</v>
      </c>
      <c r="B36" s="48">
        <f>Data_Actuals!D22</f>
        <v>110</v>
      </c>
      <c r="C36" s="48">
        <f>Data_Actuals!E22</f>
        <v>110</v>
      </c>
      <c r="D36" s="48">
        <f>Data_Actuals!F22</f>
        <v>112</v>
      </c>
      <c r="E36" s="48">
        <f>Data_Actuals!G22</f>
        <v>112</v>
      </c>
      <c r="F36" s="48">
        <f>Data_Actuals!H22</f>
        <v>115</v>
      </c>
      <c r="G36" s="43">
        <f>Data_Budget!$I$22</f>
        <v>112</v>
      </c>
      <c r="H36" s="43">
        <f>Data_Budget!$J$22</f>
        <v>115</v>
      </c>
      <c r="I36" s="43">
        <f>Data_Budget!$K$22</f>
        <v>115</v>
      </c>
      <c r="J36" s="43">
        <f>Data_Budget!$L$22</f>
        <v>115</v>
      </c>
      <c r="K36" s="43">
        <f>Data_Budget!$M$22</f>
        <v>118</v>
      </c>
      <c r="L36" s="43">
        <f>Data_Budget!$N$22</f>
        <v>118</v>
      </c>
      <c r="M36" s="43">
        <f>Data_Budget!$O$22</f>
        <v>118</v>
      </c>
      <c r="N36" s="51">
        <f t="shared" si="2"/>
        <v>1370</v>
      </c>
      <c r="O36" s="52">
        <f>N36-(SUM(Data_Actuals!$D$22:$H$22)+SUM(G36:M36))</f>
        <v>0</v>
      </c>
      <c r="P36" s="43">
        <f>Data_Budget!$I$22</f>
        <v>112</v>
      </c>
      <c r="Q36" s="43">
        <f>Data_Budget!$J$22</f>
        <v>115</v>
      </c>
      <c r="R36" s="43">
        <f>Data_Budget!$K$22</f>
        <v>115</v>
      </c>
      <c r="S36" s="43">
        <f>Data_Budget!$L$22</f>
        <v>115</v>
      </c>
      <c r="T36" s="43">
        <f>Data_Budget!$M$22</f>
        <v>118</v>
      </c>
      <c r="U36" s="43">
        <f>Data_Budget!$N$22</f>
        <v>118</v>
      </c>
      <c r="V36" s="43">
        <f>Data_Budget!$O$22</f>
        <v>118</v>
      </c>
      <c r="W36" s="51">
        <f>SUM(Data_Actuals!$D$22:$H$22)+SUM(P36:V36)</f>
        <v>1370</v>
      </c>
    </row>
    <row r="37" spans="1:23" ht="15" customHeight="1" x14ac:dyDescent="0.55000000000000004">
      <c r="A37" s="42" t="s">
        <v>160</v>
      </c>
      <c r="B37" s="48">
        <f>Data_Actuals!D23</f>
        <v>45</v>
      </c>
      <c r="C37" s="48">
        <f>Data_Actuals!E23</f>
        <v>38</v>
      </c>
      <c r="D37" s="48">
        <f>Data_Actuals!F23</f>
        <v>52</v>
      </c>
      <c r="E37" s="48">
        <f>Data_Actuals!G23</f>
        <v>41</v>
      </c>
      <c r="F37" s="48">
        <f>Data_Actuals!H23</f>
        <v>60</v>
      </c>
      <c r="G37" s="43">
        <f>Data_Budget!$I$23</f>
        <v>50</v>
      </c>
      <c r="H37" s="43">
        <f>Data_Budget!$J$23</f>
        <v>52</v>
      </c>
      <c r="I37" s="43">
        <f>Data_Budget!$K$23</f>
        <v>52</v>
      </c>
      <c r="J37" s="43">
        <f>Data_Budget!$L$23</f>
        <v>55</v>
      </c>
      <c r="K37" s="43">
        <f>Data_Budget!$M$23</f>
        <v>55</v>
      </c>
      <c r="L37" s="43">
        <f>Data_Budget!$N$23</f>
        <v>58</v>
      </c>
      <c r="M37" s="43">
        <f>Data_Budget!$O$23</f>
        <v>58</v>
      </c>
      <c r="N37" s="51">
        <f t="shared" si="2"/>
        <v>616</v>
      </c>
      <c r="O37" s="52">
        <f>N37-(SUM(Data_Actuals!$D$23:$H$23)+SUM(G37:M37))</f>
        <v>0</v>
      </c>
      <c r="P37" s="43">
        <f>Data_Budget!$I$23</f>
        <v>50</v>
      </c>
      <c r="Q37" s="43">
        <f>Data_Budget!$J$23</f>
        <v>52</v>
      </c>
      <c r="R37" s="43">
        <f>Data_Budget!$K$23</f>
        <v>52</v>
      </c>
      <c r="S37" s="43">
        <f>Data_Budget!$L$23</f>
        <v>55</v>
      </c>
      <c r="T37" s="43">
        <f>Data_Budget!$M$23</f>
        <v>55</v>
      </c>
      <c r="U37" s="43">
        <f>Data_Budget!$N$23</f>
        <v>58</v>
      </c>
      <c r="V37" s="43">
        <f>Data_Budget!$O$23</f>
        <v>58</v>
      </c>
      <c r="W37" s="51">
        <f>SUM(Data_Actuals!$D$23:$H$23)+SUM(P37:V37)</f>
        <v>616</v>
      </c>
    </row>
    <row r="38" spans="1:23" ht="15" customHeight="1" x14ac:dyDescent="0.55000000000000004">
      <c r="A38" s="53" t="s">
        <v>161</v>
      </c>
      <c r="B38" s="54">
        <f t="shared" ref="B38:M38" si="11">SUM(B28:B37)</f>
        <v>3668</v>
      </c>
      <c r="C38" s="54">
        <f t="shared" si="11"/>
        <v>3708</v>
      </c>
      <c r="D38" s="54">
        <f t="shared" si="11"/>
        <v>3969</v>
      </c>
      <c r="E38" s="54">
        <f t="shared" si="11"/>
        <v>4076</v>
      </c>
      <c r="F38" s="54">
        <f t="shared" si="11"/>
        <v>4342</v>
      </c>
      <c r="G38" s="55">
        <f t="shared" si="11"/>
        <v>4307.25</v>
      </c>
      <c r="H38" s="55">
        <f t="shared" si="11"/>
        <v>4275.5</v>
      </c>
      <c r="I38" s="55">
        <f t="shared" si="11"/>
        <v>4326.75</v>
      </c>
      <c r="J38" s="55">
        <f t="shared" si="11"/>
        <v>4438</v>
      </c>
      <c r="K38" s="55">
        <f t="shared" si="11"/>
        <v>4462.25</v>
      </c>
      <c r="L38" s="55">
        <f t="shared" si="11"/>
        <v>4518.5</v>
      </c>
      <c r="M38" s="55">
        <f t="shared" si="11"/>
        <v>4654.75</v>
      </c>
      <c r="N38" s="51">
        <f t="shared" si="2"/>
        <v>50746</v>
      </c>
      <c r="O38" s="52">
        <f>N38-SUM(N28:N37)</f>
        <v>0</v>
      </c>
      <c r="P38" s="55">
        <f t="shared" ref="P38:W38" si="12">SUM(P28:P37)</f>
        <v>4307.25</v>
      </c>
      <c r="Q38" s="55">
        <f t="shared" si="12"/>
        <v>4275.5</v>
      </c>
      <c r="R38" s="55">
        <f t="shared" si="12"/>
        <v>4326.75</v>
      </c>
      <c r="S38" s="55">
        <f t="shared" si="12"/>
        <v>4438</v>
      </c>
      <c r="T38" s="55">
        <f t="shared" si="12"/>
        <v>4462.25</v>
      </c>
      <c r="U38" s="55">
        <f t="shared" si="12"/>
        <v>4518.5</v>
      </c>
      <c r="V38" s="55">
        <f t="shared" si="12"/>
        <v>4654.75</v>
      </c>
      <c r="W38" s="51">
        <f t="shared" si="12"/>
        <v>50746</v>
      </c>
    </row>
    <row r="39" spans="1:23" ht="15" customHeight="1" x14ac:dyDescent="0.55000000000000004">
      <c r="A39" s="53" t="s">
        <v>162</v>
      </c>
      <c r="B39" s="54">
        <f t="shared" ref="B39:M39" si="13">B27-B38</f>
        <v>-1223</v>
      </c>
      <c r="C39" s="54">
        <f t="shared" si="13"/>
        <v>-1272</v>
      </c>
      <c r="D39" s="54">
        <f t="shared" si="13"/>
        <v>-1359</v>
      </c>
      <c r="E39" s="54">
        <f t="shared" si="13"/>
        <v>-1518</v>
      </c>
      <c r="F39" s="54">
        <f t="shared" si="13"/>
        <v>-1656</v>
      </c>
      <c r="G39" s="55">
        <f t="shared" si="13"/>
        <v>-1558.1672632481877</v>
      </c>
      <c r="H39" s="55">
        <f t="shared" si="13"/>
        <v>-1460.7680937600876</v>
      </c>
      <c r="I39" s="55">
        <f t="shared" si="13"/>
        <v>-1445.5557720651682</v>
      </c>
      <c r="J39" s="55">
        <f t="shared" si="13"/>
        <v>-1489.5024109656506</v>
      </c>
      <c r="K39" s="55">
        <f t="shared" si="13"/>
        <v>-1445.5791668137285</v>
      </c>
      <c r="L39" s="55">
        <f t="shared" si="13"/>
        <v>-1432.756206706275</v>
      </c>
      <c r="M39" s="55">
        <f t="shared" si="13"/>
        <v>-1499.0026745542932</v>
      </c>
      <c r="N39" s="51">
        <f t="shared" si="2"/>
        <v>-17359.331588113389</v>
      </c>
      <c r="O39" s="52">
        <f>N39-(N27-N38)</f>
        <v>0</v>
      </c>
      <c r="P39" s="55">
        <f t="shared" ref="P39:W39" si="14">P27-P38</f>
        <v>-1779.8335015254911</v>
      </c>
      <c r="Q39" s="55">
        <f t="shared" si="14"/>
        <v>-1690.0783595778789</v>
      </c>
      <c r="R39" s="55">
        <f t="shared" si="14"/>
        <v>-1682.7736651375653</v>
      </c>
      <c r="S39" s="55">
        <f t="shared" si="14"/>
        <v>-1734.9006210851271</v>
      </c>
      <c r="T39" s="55">
        <f t="shared" si="14"/>
        <v>-1699.4397873170219</v>
      </c>
      <c r="U39" s="55">
        <f t="shared" si="14"/>
        <v>-1695.3710587499831</v>
      </c>
      <c r="V39" s="55">
        <f t="shared" si="14"/>
        <v>-1770.67364257292</v>
      </c>
      <c r="W39" s="51">
        <f t="shared" si="14"/>
        <v>-19081.070635965989</v>
      </c>
    </row>
    <row r="40" spans="1:23" ht="15" customHeight="1" x14ac:dyDescent="0.55000000000000004">
      <c r="A40" s="42" t="s">
        <v>163</v>
      </c>
      <c r="B40" s="48">
        <f>Data_Actuals!D11</f>
        <v>850</v>
      </c>
      <c r="C40" s="48">
        <f>Data_Actuals!E11</f>
        <v>-420</v>
      </c>
      <c r="D40" s="48">
        <f>Data_Actuals!F11</f>
        <v>1100</v>
      </c>
      <c r="E40" s="48">
        <f>Data_Actuals!G11</f>
        <v>-680</v>
      </c>
      <c r="F40" s="48">
        <f>Data_Actuals!H11</f>
        <v>1450</v>
      </c>
      <c r="G40" s="43">
        <f>Inputs!$H$8*(G11-Data_KPIs!$G$5)/1000</f>
        <v>0</v>
      </c>
      <c r="H40" s="43">
        <f>0</f>
        <v>0</v>
      </c>
      <c r="I40" s="43">
        <f>0</f>
        <v>0</v>
      </c>
      <c r="J40" s="43">
        <f>0</f>
        <v>0</v>
      </c>
      <c r="K40" s="43">
        <f>0</f>
        <v>0</v>
      </c>
      <c r="L40" s="43">
        <f>0</f>
        <v>0</v>
      </c>
      <c r="M40" s="43">
        <f>0</f>
        <v>0</v>
      </c>
      <c r="N40" s="51">
        <f t="shared" si="2"/>
        <v>2300</v>
      </c>
      <c r="O40" s="52">
        <f>N40-(SUM(Data_Actuals!$D$11:$H$11)+SUM(G40:M40))</f>
        <v>0</v>
      </c>
      <c r="P40" s="43">
        <f>Inputs!$H$8*(P11-Data_KPIs!$G$5)/1000</f>
        <v>-4320</v>
      </c>
      <c r="Q40" s="43">
        <f>0</f>
        <v>0</v>
      </c>
      <c r="R40" s="43">
        <f>0</f>
        <v>0</v>
      </c>
      <c r="S40" s="43">
        <f>0</f>
        <v>0</v>
      </c>
      <c r="T40" s="43">
        <f>0</f>
        <v>0</v>
      </c>
      <c r="U40" s="43">
        <f>0</f>
        <v>0</v>
      </c>
      <c r="V40" s="43">
        <f>0</f>
        <v>0</v>
      </c>
      <c r="W40" s="51">
        <f>SUM(Data_Actuals!$D$11:$H$11)+SUM(P40:V40)</f>
        <v>-2020</v>
      </c>
    </row>
    <row r="41" spans="1:23" ht="15" customHeight="1" x14ac:dyDescent="0.55000000000000004">
      <c r="A41" s="53" t="s">
        <v>164</v>
      </c>
      <c r="B41" s="54">
        <f t="shared" ref="B41:M41" si="15">B39+B40</f>
        <v>-373</v>
      </c>
      <c r="C41" s="54">
        <f t="shared" si="15"/>
        <v>-1692</v>
      </c>
      <c r="D41" s="54">
        <f t="shared" si="15"/>
        <v>-259</v>
      </c>
      <c r="E41" s="54">
        <f t="shared" si="15"/>
        <v>-2198</v>
      </c>
      <c r="F41" s="54">
        <f t="shared" si="15"/>
        <v>-206</v>
      </c>
      <c r="G41" s="55">
        <f t="shared" si="15"/>
        <v>-1558.1672632481877</v>
      </c>
      <c r="H41" s="55">
        <f t="shared" si="15"/>
        <v>-1460.7680937600876</v>
      </c>
      <c r="I41" s="55">
        <f t="shared" si="15"/>
        <v>-1445.5557720651682</v>
      </c>
      <c r="J41" s="55">
        <f t="shared" si="15"/>
        <v>-1489.5024109656506</v>
      </c>
      <c r="K41" s="55">
        <f t="shared" si="15"/>
        <v>-1445.5791668137285</v>
      </c>
      <c r="L41" s="55">
        <f t="shared" si="15"/>
        <v>-1432.756206706275</v>
      </c>
      <c r="M41" s="55">
        <f t="shared" si="15"/>
        <v>-1499.0026745542932</v>
      </c>
      <c r="N41" s="51">
        <f t="shared" si="2"/>
        <v>-15059.331588113389</v>
      </c>
      <c r="O41" s="52">
        <f>N41-(N39+N40)</f>
        <v>0</v>
      </c>
      <c r="P41" s="55">
        <f t="shared" ref="P41:W41" si="16">P39+P40</f>
        <v>-6099.8335015254906</v>
      </c>
      <c r="Q41" s="55">
        <f t="shared" si="16"/>
        <v>-1690.0783595778789</v>
      </c>
      <c r="R41" s="55">
        <f t="shared" si="16"/>
        <v>-1682.7736651375653</v>
      </c>
      <c r="S41" s="55">
        <f t="shared" si="16"/>
        <v>-1734.9006210851271</v>
      </c>
      <c r="T41" s="55">
        <f t="shared" si="16"/>
        <v>-1699.4397873170219</v>
      </c>
      <c r="U41" s="55">
        <f t="shared" si="16"/>
        <v>-1695.3710587499831</v>
      </c>
      <c r="V41" s="55">
        <f t="shared" si="16"/>
        <v>-1770.67364257292</v>
      </c>
      <c r="W41" s="51">
        <f t="shared" si="16"/>
        <v>-21101.070635965989</v>
      </c>
    </row>
    <row r="43" spans="1:23" ht="15" customHeight="1" x14ac:dyDescent="0.55000000000000004">
      <c r="A43" s="4" t="s">
        <v>165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5" customHeight="1" x14ac:dyDescent="0.5500000000000000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</sheetData>
  <mergeCells count="5">
    <mergeCell ref="A2:W2"/>
    <mergeCell ref="A4:J4"/>
    <mergeCell ref="A9:W9"/>
    <mergeCell ref="A15:W15"/>
    <mergeCell ref="A43:W4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L40"/>
  <sheetViews>
    <sheetView zoomScaleNormal="100" workbookViewId="0">
      <selection activeCell="B34" sqref="B34"/>
    </sheetView>
  </sheetViews>
  <sheetFormatPr defaultColWidth="8.68359375" defaultRowHeight="14.4" x14ac:dyDescent="0.55000000000000004"/>
  <cols>
    <col min="1" max="1" width="40" style="13" customWidth="1"/>
    <col min="2" max="3" width="11" style="13" customWidth="1"/>
    <col min="4" max="4" width="10" style="13" customWidth="1"/>
    <col min="5" max="5" width="9" style="13" customWidth="1"/>
    <col min="6" max="6" width="22" style="13" customWidth="1"/>
    <col min="7" max="8" width="11" style="13" customWidth="1"/>
    <col min="9" max="9" width="10" style="13" customWidth="1"/>
    <col min="10" max="10" width="9" style="13" customWidth="1"/>
    <col min="11" max="11" width="22" style="13" customWidth="1"/>
    <col min="12" max="16384" width="8.68359375" style="13"/>
  </cols>
  <sheetData>
    <row r="1" spans="1:12" ht="17.25" customHeight="1" x14ac:dyDescent="0.55000000000000004">
      <c r="A1" s="14" t="s">
        <v>166</v>
      </c>
    </row>
    <row r="2" spans="1:12" ht="39.75" customHeight="1" x14ac:dyDescent="0.55000000000000004">
      <c r="A2" s="4" t="s">
        <v>167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ht="15" customHeight="1" x14ac:dyDescent="0.55000000000000004">
      <c r="A4" s="56" t="s">
        <v>168</v>
      </c>
      <c r="B4" s="56" t="s">
        <v>118</v>
      </c>
      <c r="C4" s="56" t="s">
        <v>169</v>
      </c>
      <c r="D4" s="56" t="s">
        <v>170</v>
      </c>
      <c r="E4" s="56" t="s">
        <v>171</v>
      </c>
      <c r="F4" s="56" t="s">
        <v>172</v>
      </c>
      <c r="G4" s="56" t="s">
        <v>173</v>
      </c>
      <c r="H4" s="56" t="s">
        <v>174</v>
      </c>
      <c r="I4" s="56" t="s">
        <v>170</v>
      </c>
      <c r="J4" s="56" t="s">
        <v>171</v>
      </c>
      <c r="K4" s="56" t="s">
        <v>172</v>
      </c>
    </row>
    <row r="5" spans="1:12" ht="15" customHeight="1" x14ac:dyDescent="0.55000000000000004">
      <c r="A5" s="57" t="s">
        <v>175</v>
      </c>
      <c r="B5" s="58"/>
      <c r="C5" s="58"/>
      <c r="D5" s="58"/>
      <c r="E5" s="58"/>
      <c r="F5" s="58"/>
      <c r="G5" s="58"/>
      <c r="H5" s="58"/>
      <c r="I5" s="58"/>
      <c r="J5" s="58"/>
      <c r="K5" s="58"/>
    </row>
    <row r="6" spans="1:12" ht="15" customHeight="1" x14ac:dyDescent="0.55000000000000004">
      <c r="A6" s="42" t="s">
        <v>176</v>
      </c>
      <c r="B6" s="59">
        <f>Data_Actuals!$H$5</f>
        <v>495</v>
      </c>
      <c r="C6" s="59">
        <f>Data_Budget!$H$5</f>
        <v>660</v>
      </c>
      <c r="D6" s="43">
        <f t="shared" ref="D6:D11" si="0">B6-C6</f>
        <v>-165</v>
      </c>
      <c r="E6" s="32">
        <f t="shared" ref="E6:E11" si="1">IF(C6=0,"n/m",D6/ABS(C6))</f>
        <v>-0.25</v>
      </c>
      <c r="F6" s="38" t="str">
        <f>IF(E6="n/m","n/m - see note",IF(AND(ABS(D6)&gt;=Inputs!$H$37,ABS(E6)&gt;=Inputs!$H$38),IF(D6&gt;0,"Favorable - material","UNFAVORABLE - material"),""))</f>
        <v>UNFAVORABLE - material</v>
      </c>
      <c r="G6" s="59">
        <f>SUM(Data_Actuals!$D$5:$H$5)</f>
        <v>2945</v>
      </c>
      <c r="H6" s="59">
        <f>SUM(Data_Budget!$D$5:$H$5)</f>
        <v>3120</v>
      </c>
      <c r="I6" s="43">
        <f t="shared" ref="I6:I11" si="2">G6-H6</f>
        <v>-175</v>
      </c>
      <c r="J6" s="32">
        <f t="shared" ref="J6:J11" si="3">IF(H6=0,"n/m",I6/ABS(H6))</f>
        <v>-5.6089743589743592E-2</v>
      </c>
      <c r="K6" s="38" t="str">
        <f>IF(J6="n/m","n/m - see note",IF(AND(ABS(I6)&gt;=Inputs!$H$37,ABS(J6)&gt;=Inputs!$H$38),IF(I6&gt;0,"Favorable - material","UNFAVORABLE - material"),""))</f>
        <v/>
      </c>
    </row>
    <row r="7" spans="1:12" ht="15" customHeight="1" x14ac:dyDescent="0.55000000000000004">
      <c r="A7" s="42" t="s">
        <v>177</v>
      </c>
      <c r="B7" s="59">
        <f>Data_Actuals!$H$6</f>
        <v>240</v>
      </c>
      <c r="C7" s="59">
        <f>Data_Budget!$H$6</f>
        <v>233</v>
      </c>
      <c r="D7" s="43">
        <f t="shared" si="0"/>
        <v>7</v>
      </c>
      <c r="E7" s="32">
        <f t="shared" si="1"/>
        <v>3.0042918454935622E-2</v>
      </c>
      <c r="F7" s="38" t="str">
        <f>IF(E7="n/m","n/m - see note",IF(AND(ABS(D7)&gt;=Inputs!$H$37,ABS(E7)&gt;=Inputs!$H$38),IF(D7&gt;0,"Favorable - material","UNFAVORABLE - material"),""))</f>
        <v/>
      </c>
      <c r="G7" s="59">
        <f>SUM(Data_Actuals!$D$6:$H$6)</f>
        <v>1126</v>
      </c>
      <c r="H7" s="59">
        <f>SUM(Data_Budget!$D$6:$H$6)</f>
        <v>1095</v>
      </c>
      <c r="I7" s="43">
        <f t="shared" si="2"/>
        <v>31</v>
      </c>
      <c r="J7" s="32">
        <f t="shared" si="3"/>
        <v>2.8310502283105023E-2</v>
      </c>
      <c r="K7" s="38" t="str">
        <f>IF(J7="n/m","n/m - see note",IF(AND(ABS(I7)&gt;=Inputs!$H$37,ABS(J7)&gt;=Inputs!$H$38),IF(I7&gt;0,"Favorable - material","UNFAVORABLE - material"),""))</f>
        <v/>
      </c>
    </row>
    <row r="8" spans="1:12" ht="15" customHeight="1" x14ac:dyDescent="0.55000000000000004">
      <c r="A8" s="42" t="s">
        <v>178</v>
      </c>
      <c r="B8" s="59">
        <f>Data_Actuals!$H$7</f>
        <v>76</v>
      </c>
      <c r="C8" s="59">
        <f>Data_Budget!$H$7</f>
        <v>100</v>
      </c>
      <c r="D8" s="43">
        <f t="shared" si="0"/>
        <v>-24</v>
      </c>
      <c r="E8" s="32">
        <f t="shared" si="1"/>
        <v>-0.24</v>
      </c>
      <c r="F8" s="38" t="str">
        <f>IF(E8="n/m","n/m - see note",IF(AND(ABS(D8)&gt;=Inputs!$H$37,ABS(E8)&gt;=Inputs!$H$38),IF(D8&gt;0,"Favorable - material","UNFAVORABLE - material"),""))</f>
        <v/>
      </c>
      <c r="G8" s="59">
        <f>SUM(Data_Actuals!$D$7:$H$7)</f>
        <v>449</v>
      </c>
      <c r="H8" s="59">
        <f>SUM(Data_Budget!$D$7:$H$7)</f>
        <v>470</v>
      </c>
      <c r="I8" s="43">
        <f t="shared" si="2"/>
        <v>-21</v>
      </c>
      <c r="J8" s="32">
        <f t="shared" si="3"/>
        <v>-4.4680851063829789E-2</v>
      </c>
      <c r="K8" s="38" t="str">
        <f>IF(J8="n/m","n/m - see note",IF(AND(ABS(I8)&gt;=Inputs!$H$37,ABS(J8)&gt;=Inputs!$H$38),IF(I8&gt;0,"Favorable - material","UNFAVORABLE - material"),""))</f>
        <v/>
      </c>
    </row>
    <row r="9" spans="1:12" ht="15" customHeight="1" x14ac:dyDescent="0.55000000000000004">
      <c r="A9" s="40" t="s">
        <v>142</v>
      </c>
      <c r="B9" s="51">
        <f>SUM(B6:B8)</f>
        <v>811</v>
      </c>
      <c r="C9" s="51">
        <f>SUM(C6:C8)</f>
        <v>993</v>
      </c>
      <c r="D9" s="43">
        <f t="shared" si="0"/>
        <v>-182</v>
      </c>
      <c r="E9" s="32">
        <f t="shared" si="1"/>
        <v>-0.18328298086606243</v>
      </c>
      <c r="F9" s="38" t="str">
        <f>IF(E9="n/m","n/m - see note",IF(AND(ABS(D9)&gt;=Inputs!$H$37,ABS(E9)&gt;=Inputs!$H$38),IF(D9&gt;0,"Favorable - material","UNFAVORABLE - material"),""))</f>
        <v>UNFAVORABLE - material</v>
      </c>
      <c r="G9" s="51">
        <f>SUM(G6:G8)</f>
        <v>4520</v>
      </c>
      <c r="H9" s="51">
        <f>SUM(H6:H8)</f>
        <v>4685</v>
      </c>
      <c r="I9" s="43">
        <f t="shared" si="2"/>
        <v>-165</v>
      </c>
      <c r="J9" s="32">
        <f t="shared" si="3"/>
        <v>-3.5218783351120594E-2</v>
      </c>
      <c r="K9" s="38" t="str">
        <f>IF(J9="n/m","n/m - see note",IF(AND(ABS(I9)&gt;=Inputs!$H$37,ABS(J9)&gt;=Inputs!$H$38),IF(I9&gt;0,"Favorable - material","UNFAVORABLE - material"),""))</f>
        <v/>
      </c>
    </row>
    <row r="10" spans="1:12" ht="15" customHeight="1" x14ac:dyDescent="0.55000000000000004">
      <c r="A10" s="42" t="s">
        <v>179</v>
      </c>
      <c r="B10" s="59">
        <f>Data_Actuals!$H$12</f>
        <v>360</v>
      </c>
      <c r="C10" s="59">
        <f>Data_Budget!$H$12</f>
        <v>455</v>
      </c>
      <c r="D10" s="43">
        <f t="shared" si="0"/>
        <v>-95</v>
      </c>
      <c r="E10" s="32">
        <f t="shared" si="1"/>
        <v>-0.2087912087912088</v>
      </c>
      <c r="F10" s="38" t="str">
        <f>IF(E10="n/m","n/m - see note",IF(AND(ABS(D10)&gt;=Inputs!$H$37,ABS(E10)&gt;=Inputs!$H$38),IF(D10&lt;0,"Favorable - material","UNFAVORABLE - material"),""))</f>
        <v>Favorable - material</v>
      </c>
      <c r="G10" s="59">
        <f>SUM(Data_Actuals!$D$12:$H$12)</f>
        <v>2070</v>
      </c>
      <c r="H10" s="59">
        <f>SUM(Data_Budget!$D$12:$H$12)</f>
        <v>2140</v>
      </c>
      <c r="I10" s="43">
        <f t="shared" si="2"/>
        <v>-70</v>
      </c>
      <c r="J10" s="32">
        <f t="shared" si="3"/>
        <v>-3.2710280373831772E-2</v>
      </c>
      <c r="K10" s="38" t="str">
        <f>IF(J10="n/m","n/m - see note",IF(AND(ABS(I10)&gt;=Inputs!$H$37,ABS(J10)&gt;=Inputs!$H$38),IF(I10&lt;0,"Favorable - material","UNFAVORABLE - material"),""))</f>
        <v/>
      </c>
    </row>
    <row r="11" spans="1:12" ht="15" customHeight="1" x14ac:dyDescent="0.55000000000000004">
      <c r="A11" s="40" t="s">
        <v>180</v>
      </c>
      <c r="B11" s="51">
        <f>B9-B10</f>
        <v>451</v>
      </c>
      <c r="C11" s="51">
        <f>C9-C10</f>
        <v>538</v>
      </c>
      <c r="D11" s="43">
        <f t="shared" si="0"/>
        <v>-87</v>
      </c>
      <c r="E11" s="32">
        <f t="shared" si="1"/>
        <v>-0.16171003717472118</v>
      </c>
      <c r="F11" s="38" t="str">
        <f>IF(E11="n/m","n/m - see note",IF(AND(ABS(D11)&gt;=Inputs!$H$37,ABS(E11)&gt;=Inputs!$H$38),IF(D11&gt;0,"Favorable - material","UNFAVORABLE - material"),""))</f>
        <v>UNFAVORABLE - material</v>
      </c>
      <c r="G11" s="51">
        <f>G9-G10</f>
        <v>2450</v>
      </c>
      <c r="H11" s="51">
        <f>H9-H10</f>
        <v>2545</v>
      </c>
      <c r="I11" s="43">
        <f t="shared" si="2"/>
        <v>-95</v>
      </c>
      <c r="J11" s="32">
        <f t="shared" si="3"/>
        <v>-3.732809430255403E-2</v>
      </c>
      <c r="K11" s="38" t="str">
        <f>IF(J11="n/m","n/m - see note",IF(AND(ABS(I11)&gt;=Inputs!$H$37,ABS(J11)&gt;=Inputs!$H$38),IF(I11&gt;0,"Favorable - material","UNFAVORABLE - material"),""))</f>
        <v/>
      </c>
    </row>
    <row r="12" spans="1:12" ht="15" customHeight="1" x14ac:dyDescent="0.55000000000000004">
      <c r="A12" s="57" t="s">
        <v>181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</row>
    <row r="13" spans="1:12" ht="15" customHeight="1" x14ac:dyDescent="0.55000000000000004">
      <c r="A13" s="42" t="s">
        <v>182</v>
      </c>
      <c r="B13" s="59">
        <f>Data_Actuals!$H$8</f>
        <v>510</v>
      </c>
      <c r="C13" s="59">
        <f>Data_Budget!$H$8</f>
        <v>430</v>
      </c>
      <c r="D13" s="43">
        <f t="shared" ref="D13:D18" si="4">B13-C13</f>
        <v>80</v>
      </c>
      <c r="E13" s="32">
        <f t="shared" ref="E13:E18" si="5">IF(C13=0,"n/m",D13/ABS(C13))</f>
        <v>0.18604651162790697</v>
      </c>
      <c r="F13" s="38" t="str">
        <f>IF(E13="n/m","n/m - see note",IF(AND(ABS(D13)&gt;=Inputs!$H$37,ABS(E13)&gt;=Inputs!$H$38),IF(D13&gt;0,"Favorable - material","UNFAVORABLE - material"),""))</f>
        <v>Favorable - material</v>
      </c>
      <c r="G13" s="59">
        <f>SUM(Data_Actuals!$D$8:$H$8)</f>
        <v>2090</v>
      </c>
      <c r="H13" s="59">
        <f>SUM(Data_Budget!$D$8:$H$8)</f>
        <v>2000</v>
      </c>
      <c r="I13" s="43">
        <f t="shared" ref="I13:I18" si="6">G13-H13</f>
        <v>90</v>
      </c>
      <c r="J13" s="32">
        <f t="shared" ref="J13:J18" si="7">IF(H13=0,"n/m",I13/ABS(H13))</f>
        <v>4.4999999999999998E-2</v>
      </c>
      <c r="K13" s="38" t="str">
        <f>IF(J13="n/m","n/m - see note",IF(AND(ABS(I13)&gt;=Inputs!$H$37,ABS(J13)&gt;=Inputs!$H$38),IF(I13&gt;0,"Favorable - material","UNFAVORABLE - material"),""))</f>
        <v/>
      </c>
    </row>
    <row r="14" spans="1:12" ht="15" customHeight="1" x14ac:dyDescent="0.55000000000000004">
      <c r="A14" s="42" t="s">
        <v>183</v>
      </c>
      <c r="B14" s="59">
        <f>Data_Actuals!$H$9</f>
        <v>1380</v>
      </c>
      <c r="C14" s="59">
        <f>Data_Budget!$H$9</f>
        <v>1390</v>
      </c>
      <c r="D14" s="43">
        <f t="shared" si="4"/>
        <v>-10</v>
      </c>
      <c r="E14" s="32">
        <f t="shared" si="5"/>
        <v>-7.1942446043165471E-3</v>
      </c>
      <c r="F14" s="38" t="str">
        <f>IF(E14="n/m","n/m - see note",IF(AND(ABS(D14)&gt;=Inputs!$H$37,ABS(E14)&gt;=Inputs!$H$38),IF(D14&gt;0,"Favorable - material","UNFAVORABLE - material"),""))</f>
        <v/>
      </c>
      <c r="G14" s="59">
        <f>SUM(Data_Actuals!$D$9:$H$9)</f>
        <v>6565</v>
      </c>
      <c r="H14" s="59">
        <f>SUM(Data_Budget!$D$9:$H$9)</f>
        <v>6550</v>
      </c>
      <c r="I14" s="43">
        <f t="shared" si="6"/>
        <v>15</v>
      </c>
      <c r="J14" s="32">
        <f t="shared" si="7"/>
        <v>2.2900763358778627E-3</v>
      </c>
      <c r="K14" s="38" t="str">
        <f>IF(J14="n/m","n/m - see note",IF(AND(ABS(I14)&gt;=Inputs!$H$37,ABS(J14)&gt;=Inputs!$H$38),IF(I14&gt;0,"Favorable - material","UNFAVORABLE - material"),""))</f>
        <v/>
      </c>
    </row>
    <row r="15" spans="1:12" ht="15" customHeight="1" x14ac:dyDescent="0.55000000000000004">
      <c r="A15" s="42" t="s">
        <v>184</v>
      </c>
      <c r="B15" s="59">
        <f>Data_Actuals!$H$10</f>
        <v>705</v>
      </c>
      <c r="C15" s="59">
        <f>Data_Budget!$H$10</f>
        <v>660</v>
      </c>
      <c r="D15" s="43">
        <f t="shared" si="4"/>
        <v>45</v>
      </c>
      <c r="E15" s="32">
        <f t="shared" si="5"/>
        <v>6.8181818181818177E-2</v>
      </c>
      <c r="F15" s="38" t="str">
        <f>IF(E15="n/m","n/m - see note",IF(AND(ABS(D15)&gt;=Inputs!$H$37,ABS(E15)&gt;=Inputs!$H$38),IF(D15&gt;0,"Favorable - material","UNFAVORABLE - material"),""))</f>
        <v/>
      </c>
      <c r="G15" s="59">
        <f>SUM(Data_Actuals!$D$10:$H$10)</f>
        <v>3300</v>
      </c>
      <c r="H15" s="59">
        <f>SUM(Data_Budget!$D$10:$H$10)</f>
        <v>3200</v>
      </c>
      <c r="I15" s="43">
        <f t="shared" si="6"/>
        <v>100</v>
      </c>
      <c r="J15" s="32">
        <f t="shared" si="7"/>
        <v>3.125E-2</v>
      </c>
      <c r="K15" s="38" t="str">
        <f>IF(J15="n/m","n/m - see note",IF(AND(ABS(I15)&gt;=Inputs!$H$37,ABS(J15)&gt;=Inputs!$H$38),IF(I15&gt;0,"Favorable - material","UNFAVORABLE - material"),""))</f>
        <v/>
      </c>
    </row>
    <row r="16" spans="1:12" ht="15" customHeight="1" x14ac:dyDescent="0.55000000000000004">
      <c r="A16" s="40" t="s">
        <v>146</v>
      </c>
      <c r="B16" s="51">
        <f>SUM(B13:B15)</f>
        <v>2595</v>
      </c>
      <c r="C16" s="51">
        <f>SUM(C13:C15)</f>
        <v>2480</v>
      </c>
      <c r="D16" s="43">
        <f t="shared" si="4"/>
        <v>115</v>
      </c>
      <c r="E16" s="32">
        <f t="shared" si="5"/>
        <v>4.6370967741935484E-2</v>
      </c>
      <c r="F16" s="38" t="str">
        <f>IF(E16="n/m","n/m - see note",IF(AND(ABS(D16)&gt;=Inputs!$H$37,ABS(E16)&gt;=Inputs!$H$38),IF(D16&gt;0,"Favorable - material","UNFAVORABLE - material"),""))</f>
        <v/>
      </c>
      <c r="G16" s="51">
        <f>SUM(G13:G15)</f>
        <v>11955</v>
      </c>
      <c r="H16" s="51">
        <f>SUM(H13:H15)</f>
        <v>11750</v>
      </c>
      <c r="I16" s="43">
        <f t="shared" si="6"/>
        <v>205</v>
      </c>
      <c r="J16" s="32">
        <f t="shared" si="7"/>
        <v>1.7446808510638297E-2</v>
      </c>
      <c r="K16" s="38" t="str">
        <f>IF(J16="n/m","n/m - see note",IF(AND(ABS(I16)&gt;=Inputs!$H$37,ABS(J16)&gt;=Inputs!$H$38),IF(I16&gt;0,"Favorable - material","UNFAVORABLE - material"),""))</f>
        <v/>
      </c>
    </row>
    <row r="17" spans="1:11" ht="15" customHeight="1" x14ac:dyDescent="0.55000000000000004">
      <c r="A17" s="42" t="s">
        <v>185</v>
      </c>
      <c r="B17" s="59">
        <f>Data_Actuals!$H$13</f>
        <v>360</v>
      </c>
      <c r="C17" s="59">
        <f>Data_Budget!$H$13</f>
        <v>340</v>
      </c>
      <c r="D17" s="43">
        <f t="shared" si="4"/>
        <v>20</v>
      </c>
      <c r="E17" s="32">
        <f t="shared" si="5"/>
        <v>5.8823529411764705E-2</v>
      </c>
      <c r="F17" s="38" t="str">
        <f>IF(E17="n/m","n/m - see note",IF(AND(ABS(D17)&gt;=Inputs!$H$37,ABS(E17)&gt;=Inputs!$H$38),IF(D17&lt;0,"Favorable - material","UNFAVORABLE - material"),""))</f>
        <v/>
      </c>
      <c r="G17" s="59">
        <f>SUM(Data_Actuals!$D$13:$H$13)</f>
        <v>1670</v>
      </c>
      <c r="H17" s="59">
        <f>SUM(Data_Budget!$D$13:$H$13)</f>
        <v>1650</v>
      </c>
      <c r="I17" s="43">
        <f t="shared" si="6"/>
        <v>20</v>
      </c>
      <c r="J17" s="32">
        <f t="shared" si="7"/>
        <v>1.2121212121212121E-2</v>
      </c>
      <c r="K17" s="38" t="str">
        <f>IF(J17="n/m","n/m - see note",IF(AND(ABS(I17)&gt;=Inputs!$H$37,ABS(J17)&gt;=Inputs!$H$38),IF(I17&lt;0,"Favorable - material","UNFAVORABLE - material"),""))</f>
        <v/>
      </c>
    </row>
    <row r="18" spans="1:11" ht="15" customHeight="1" x14ac:dyDescent="0.55000000000000004">
      <c r="A18" s="40" t="s">
        <v>186</v>
      </c>
      <c r="B18" s="51">
        <f>B16-B17</f>
        <v>2235</v>
      </c>
      <c r="C18" s="51">
        <f>C16-C17</f>
        <v>2140</v>
      </c>
      <c r="D18" s="43">
        <f t="shared" si="4"/>
        <v>95</v>
      </c>
      <c r="E18" s="32">
        <f t="shared" si="5"/>
        <v>4.4392523364485979E-2</v>
      </c>
      <c r="F18" s="38" t="str">
        <f>IF(E18="n/m","n/m - see note",IF(AND(ABS(D18)&gt;=Inputs!$H$37,ABS(E18)&gt;=Inputs!$H$38),IF(D18&gt;0,"Favorable - material","UNFAVORABLE - material"),""))</f>
        <v/>
      </c>
      <c r="G18" s="51">
        <f>G16-G17</f>
        <v>10285</v>
      </c>
      <c r="H18" s="51">
        <f>H16-H17</f>
        <v>10100</v>
      </c>
      <c r="I18" s="43">
        <f t="shared" si="6"/>
        <v>185</v>
      </c>
      <c r="J18" s="32">
        <f t="shared" si="7"/>
        <v>1.8316831683168316E-2</v>
      </c>
      <c r="K18" s="38" t="str">
        <f>IF(J18="n/m","n/m - see note",IF(AND(ABS(I18)&gt;=Inputs!$H$37,ABS(J18)&gt;=Inputs!$H$38),IF(I18&gt;0,"Favorable - material","UNFAVORABLE - material"),""))</f>
        <v/>
      </c>
    </row>
    <row r="19" spans="1:11" ht="15" customHeight="1" x14ac:dyDescent="0.55000000000000004">
      <c r="A19" s="57" t="s">
        <v>187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</row>
    <row r="20" spans="1:11" ht="15" customHeight="1" x14ac:dyDescent="0.55000000000000004">
      <c r="A20" s="40" t="s">
        <v>147</v>
      </c>
      <c r="B20" s="51">
        <f>B9+B16</f>
        <v>3406</v>
      </c>
      <c r="C20" s="51">
        <f>C9+C16</f>
        <v>3473</v>
      </c>
      <c r="D20" s="43">
        <f>B20-C20</f>
        <v>-67</v>
      </c>
      <c r="E20" s="32">
        <f>IF(C20=0,"n/m",D20/ABS(C20))</f>
        <v>-1.9291678663979267E-2</v>
      </c>
      <c r="F20" s="38" t="str">
        <f>IF(E20="n/m","n/m - see note",IF(AND(ABS(D20)&gt;=Inputs!$H$37,ABS(E20)&gt;=Inputs!$H$38),IF(D20&gt;0,"Favorable - material","UNFAVORABLE - material"),""))</f>
        <v/>
      </c>
      <c r="G20" s="51">
        <f>G9+G16</f>
        <v>16475</v>
      </c>
      <c r="H20" s="51">
        <f>H9+H16</f>
        <v>16435</v>
      </c>
      <c r="I20" s="43">
        <f>G20-H20</f>
        <v>40</v>
      </c>
      <c r="J20" s="32">
        <f>IF(H20=0,"n/m",I20/ABS(H20))</f>
        <v>2.4338302403407361E-3</v>
      </c>
      <c r="K20" s="38" t="str">
        <f>IF(J20="n/m","n/m - see note",IF(AND(ABS(I20)&gt;=Inputs!$H$37,ABS(J20)&gt;=Inputs!$H$38),IF(I20&gt;0,"Favorable - material","UNFAVORABLE - material"),""))</f>
        <v/>
      </c>
    </row>
    <row r="21" spans="1:11" ht="15" customHeight="1" x14ac:dyDescent="0.55000000000000004">
      <c r="A21" s="40" t="s">
        <v>188</v>
      </c>
      <c r="B21" s="51">
        <f>B10+B17</f>
        <v>720</v>
      </c>
      <c r="C21" s="51">
        <f>C10+C17</f>
        <v>795</v>
      </c>
      <c r="D21" s="43">
        <f>B21-C21</f>
        <v>-75</v>
      </c>
      <c r="E21" s="32">
        <f>IF(C21=0,"n/m",D21/ABS(C21))</f>
        <v>-9.4339622641509441E-2</v>
      </c>
      <c r="F21" s="38" t="str">
        <f>IF(E21="n/m","n/m - see note",IF(AND(ABS(D21)&gt;=Inputs!$H$37,ABS(E21)&gt;=Inputs!$H$38),IF(D21&lt;0,"Favorable - material","UNFAVORABLE - material"),""))</f>
        <v/>
      </c>
      <c r="G21" s="51">
        <f>G10+G17</f>
        <v>3740</v>
      </c>
      <c r="H21" s="51">
        <f>H10+H17</f>
        <v>3790</v>
      </c>
      <c r="I21" s="43">
        <f>G21-H21</f>
        <v>-50</v>
      </c>
      <c r="J21" s="32">
        <f>IF(H21=0,"n/m",I21/ABS(H21))</f>
        <v>-1.3192612137203167E-2</v>
      </c>
      <c r="K21" s="38" t="str">
        <f>IF(J21="n/m","n/m - see note",IF(AND(ABS(I21)&gt;=Inputs!$H$37,ABS(J21)&gt;=Inputs!$H$38),IF(I21&lt;0,"Favorable - material","UNFAVORABLE - material"),""))</f>
        <v/>
      </c>
    </row>
    <row r="22" spans="1:11" ht="15" customHeight="1" x14ac:dyDescent="0.55000000000000004">
      <c r="A22" s="40" t="s">
        <v>150</v>
      </c>
      <c r="B22" s="51">
        <f>B20-B21</f>
        <v>2686</v>
      </c>
      <c r="C22" s="51">
        <f>C20-C21</f>
        <v>2678</v>
      </c>
      <c r="D22" s="43">
        <f>B22-C22</f>
        <v>8</v>
      </c>
      <c r="E22" s="32">
        <f>IF(C22=0,"n/m",D22/ABS(C22))</f>
        <v>2.9873039581777448E-3</v>
      </c>
      <c r="F22" s="38" t="str">
        <f>IF(E22="n/m","n/m - see note",IF(AND(ABS(D22)&gt;=Inputs!$H$37,ABS(E22)&gt;=Inputs!$H$38),IF(D22&gt;0,"Favorable - material","UNFAVORABLE - material"),""))</f>
        <v/>
      </c>
      <c r="G22" s="51">
        <f>G20-G21</f>
        <v>12735</v>
      </c>
      <c r="H22" s="51">
        <f>H20-H21</f>
        <v>12645</v>
      </c>
      <c r="I22" s="43">
        <f>G22-H22</f>
        <v>90</v>
      </c>
      <c r="J22" s="32">
        <f>IF(H22=0,"n/m",I22/ABS(H22))</f>
        <v>7.1174377224199285E-3</v>
      </c>
      <c r="K22" s="38" t="str">
        <f>IF(J22="n/m","n/m - see note",IF(AND(ABS(I22)&gt;=Inputs!$H$37,ABS(J22)&gt;=Inputs!$H$38),IF(I22&gt;0,"Favorable - material","UNFAVORABLE - material"),""))</f>
        <v/>
      </c>
    </row>
    <row r="23" spans="1:11" ht="15" customHeight="1" x14ac:dyDescent="0.55000000000000004">
      <c r="A23" s="57" t="s">
        <v>189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</row>
    <row r="24" spans="1:11" ht="15" customHeight="1" x14ac:dyDescent="0.55000000000000004">
      <c r="A24" s="42" t="s">
        <v>190</v>
      </c>
      <c r="B24" s="59">
        <f>Data_Actuals!$H$14</f>
        <v>1975</v>
      </c>
      <c r="C24" s="59">
        <f>Data_Budget!$H$14</f>
        <v>1940</v>
      </c>
      <c r="D24" s="43">
        <f t="shared" ref="D24:D37" si="8">B24-C24</f>
        <v>35</v>
      </c>
      <c r="E24" s="32">
        <f t="shared" ref="E24:E37" si="9">IF(C24=0,"n/m",D24/ABS(C24))</f>
        <v>1.804123711340206E-2</v>
      </c>
      <c r="F24" s="38" t="str">
        <f>IF(E24="n/m","n/m - see note",IF(AND(ABS(D24)&gt;=Inputs!$H$37,ABS(E24)&gt;=Inputs!$H$38),IF(D24&lt;0,"Favorable - material","UNFAVORABLE - material"),""))</f>
        <v/>
      </c>
      <c r="G24" s="59">
        <f>SUM(Data_Actuals!$D$14:$H$14)</f>
        <v>9555</v>
      </c>
      <c r="H24" s="59">
        <f>SUM(Data_Budget!$D$14:$H$14)</f>
        <v>9400</v>
      </c>
      <c r="I24" s="43">
        <f t="shared" ref="I24:I37" si="10">G24-H24</f>
        <v>155</v>
      </c>
      <c r="J24" s="32">
        <f t="shared" ref="J24:J37" si="11">IF(H24=0,"n/m",I24/ABS(H24))</f>
        <v>1.6489361702127659E-2</v>
      </c>
      <c r="K24" s="38" t="str">
        <f>IF(J24="n/m","n/m - see note",IF(AND(ABS(I24)&gt;=Inputs!$H$37,ABS(J24)&gt;=Inputs!$H$38),IF(I24&lt;0,"Favorable - material","UNFAVORABLE - material"),""))</f>
        <v/>
      </c>
    </row>
    <row r="25" spans="1:11" ht="15" customHeight="1" x14ac:dyDescent="0.55000000000000004">
      <c r="A25" s="42" t="s">
        <v>191</v>
      </c>
      <c r="B25" s="59">
        <f>Data_Actuals!$H$15</f>
        <v>590</v>
      </c>
      <c r="C25" s="59">
        <f>Data_Budget!$H$15</f>
        <v>570</v>
      </c>
      <c r="D25" s="43">
        <f t="shared" si="8"/>
        <v>20</v>
      </c>
      <c r="E25" s="32">
        <f t="shared" si="9"/>
        <v>3.5087719298245612E-2</v>
      </c>
      <c r="F25" s="38" t="str">
        <f>IF(E25="n/m","n/m - see note",IF(AND(ABS(D25)&gt;=Inputs!$H$37,ABS(E25)&gt;=Inputs!$H$38),IF(D25&lt;0,"Favorable - material","UNFAVORABLE - material"),""))</f>
        <v/>
      </c>
      <c r="G25" s="59">
        <f>SUM(Data_Actuals!$D$15:$H$15)</f>
        <v>2820</v>
      </c>
      <c r="H25" s="59">
        <f>SUM(Data_Budget!$D$15:$H$15)</f>
        <v>2750</v>
      </c>
      <c r="I25" s="43">
        <f t="shared" si="10"/>
        <v>70</v>
      </c>
      <c r="J25" s="32">
        <f t="shared" si="11"/>
        <v>2.5454545454545455E-2</v>
      </c>
      <c r="K25" s="38" t="str">
        <f>IF(J25="n/m","n/m - see note",IF(AND(ABS(I25)&gt;=Inputs!$H$37,ABS(J25)&gt;=Inputs!$H$38),IF(I25&lt;0,"Favorable - material","UNFAVORABLE - material"),""))</f>
        <v/>
      </c>
    </row>
    <row r="26" spans="1:11" ht="15" customHeight="1" x14ac:dyDescent="0.55000000000000004">
      <c r="A26" s="42" t="s">
        <v>192</v>
      </c>
      <c r="B26" s="59">
        <f>Data_Actuals!$H$16</f>
        <v>450</v>
      </c>
      <c r="C26" s="59">
        <f>Data_Budget!$H$16</f>
        <v>435</v>
      </c>
      <c r="D26" s="43">
        <f t="shared" si="8"/>
        <v>15</v>
      </c>
      <c r="E26" s="32">
        <f t="shared" si="9"/>
        <v>3.4482758620689655E-2</v>
      </c>
      <c r="F26" s="38" t="str">
        <f>IF(E26="n/m","n/m - see note",IF(AND(ABS(D26)&gt;=Inputs!$H$37,ABS(E26)&gt;=Inputs!$H$38),IF(D26&lt;0,"Favorable - material","UNFAVORABLE - material"),""))</f>
        <v/>
      </c>
      <c r="G26" s="59">
        <f>SUM(Data_Actuals!$D$16:$H$16)</f>
        <v>2165</v>
      </c>
      <c r="H26" s="59">
        <f>SUM(Data_Budget!$D$16:$H$16)</f>
        <v>2125</v>
      </c>
      <c r="I26" s="43">
        <f t="shared" si="10"/>
        <v>40</v>
      </c>
      <c r="J26" s="32">
        <f t="shared" si="11"/>
        <v>1.8823529411764704E-2</v>
      </c>
      <c r="K26" s="38" t="str">
        <f>IF(J26="n/m","n/m - see note",IF(AND(ABS(I26)&gt;=Inputs!$H$37,ABS(J26)&gt;=Inputs!$H$38),IF(I26&lt;0,"Favorable - material","UNFAVORABLE - material"),""))</f>
        <v/>
      </c>
    </row>
    <row r="27" spans="1:11" ht="15" customHeight="1" x14ac:dyDescent="0.55000000000000004">
      <c r="A27" s="42" t="s">
        <v>193</v>
      </c>
      <c r="B27" s="59">
        <f>Data_Actuals!$H$17</f>
        <v>480</v>
      </c>
      <c r="C27" s="59">
        <f>Data_Budget!$H$17</f>
        <v>300</v>
      </c>
      <c r="D27" s="43">
        <f t="shared" si="8"/>
        <v>180</v>
      </c>
      <c r="E27" s="32">
        <f t="shared" si="9"/>
        <v>0.6</v>
      </c>
      <c r="F27" s="38" t="str">
        <f>IF(E27="n/m","n/m - see note",IF(AND(ABS(D27)&gt;=Inputs!$H$37,ABS(E27)&gt;=Inputs!$H$38),IF(D27&lt;0,"Favorable - material","UNFAVORABLE - material"),""))</f>
        <v>UNFAVORABLE - material</v>
      </c>
      <c r="G27" s="59">
        <f>SUM(Data_Actuals!$D$17:$H$17)</f>
        <v>1810</v>
      </c>
      <c r="H27" s="59">
        <f>SUM(Data_Budget!$D$17:$H$17)</f>
        <v>1450</v>
      </c>
      <c r="I27" s="43">
        <f t="shared" si="10"/>
        <v>360</v>
      </c>
      <c r="J27" s="32">
        <f t="shared" si="11"/>
        <v>0.24827586206896551</v>
      </c>
      <c r="K27" s="38" t="str">
        <f>IF(J27="n/m","n/m - see note",IF(AND(ABS(I27)&gt;=Inputs!$H$37,ABS(J27)&gt;=Inputs!$H$38),IF(I27&lt;0,"Favorable - material","UNFAVORABLE - material"),""))</f>
        <v>UNFAVORABLE - material</v>
      </c>
    </row>
    <row r="28" spans="1:11" ht="15" customHeight="1" x14ac:dyDescent="0.55000000000000004">
      <c r="A28" s="42" t="s">
        <v>194</v>
      </c>
      <c r="B28" s="59">
        <f>Data_Actuals!$H$18</f>
        <v>240</v>
      </c>
      <c r="C28" s="59">
        <f>Data_Budget!$H$18</f>
        <v>200</v>
      </c>
      <c r="D28" s="43">
        <f t="shared" si="8"/>
        <v>40</v>
      </c>
      <c r="E28" s="32">
        <f t="shared" si="9"/>
        <v>0.2</v>
      </c>
      <c r="F28" s="38" t="str">
        <f>IF(E28="n/m","n/m - see note",IF(AND(ABS(D28)&gt;=Inputs!$H$37,ABS(E28)&gt;=Inputs!$H$38),IF(D28&lt;0,"Favorable - material","UNFAVORABLE - material"),""))</f>
        <v/>
      </c>
      <c r="G28" s="59">
        <f>SUM(Data_Actuals!$D$18:$H$18)</f>
        <v>1000</v>
      </c>
      <c r="H28" s="59">
        <f>SUM(Data_Budget!$D$18:$H$18)</f>
        <v>950</v>
      </c>
      <c r="I28" s="43">
        <f t="shared" si="10"/>
        <v>50</v>
      </c>
      <c r="J28" s="32">
        <f t="shared" si="11"/>
        <v>5.2631578947368418E-2</v>
      </c>
      <c r="K28" s="38" t="str">
        <f>IF(J28="n/m","n/m - see note",IF(AND(ABS(I28)&gt;=Inputs!$H$37,ABS(J28)&gt;=Inputs!$H$38),IF(I28&lt;0,"Favorable - material","UNFAVORABLE - material"),""))</f>
        <v/>
      </c>
    </row>
    <row r="29" spans="1:11" ht="15" customHeight="1" x14ac:dyDescent="0.55000000000000004">
      <c r="A29" s="42" t="s">
        <v>195</v>
      </c>
      <c r="B29" s="59">
        <f>Data_Actuals!$H$19</f>
        <v>175</v>
      </c>
      <c r="C29" s="59">
        <f>Data_Budget!$H$19</f>
        <v>80</v>
      </c>
      <c r="D29" s="43">
        <f t="shared" si="8"/>
        <v>95</v>
      </c>
      <c r="E29" s="32">
        <f t="shared" si="9"/>
        <v>1.1875</v>
      </c>
      <c r="F29" s="38" t="str">
        <f>IF(E29="n/m","n/m - see note",IF(AND(ABS(D29)&gt;=Inputs!$H$37,ABS(E29)&gt;=Inputs!$H$38),IF(D29&lt;0,"Favorable - material","UNFAVORABLE - material"),""))</f>
        <v>UNFAVORABLE - material</v>
      </c>
      <c r="G29" s="59">
        <f>SUM(Data_Actuals!$D$19:$H$19)</f>
        <v>503</v>
      </c>
      <c r="H29" s="59">
        <f>SUM(Data_Budget!$D$19:$H$19)</f>
        <v>370</v>
      </c>
      <c r="I29" s="43">
        <f t="shared" si="10"/>
        <v>133</v>
      </c>
      <c r="J29" s="32">
        <f t="shared" si="11"/>
        <v>0.35945945945945945</v>
      </c>
      <c r="K29" s="38" t="str">
        <f>IF(J29="n/m","n/m - see note",IF(AND(ABS(I29)&gt;=Inputs!$H$37,ABS(J29)&gt;=Inputs!$H$38),IF(I29&lt;0,"Favorable - material","UNFAVORABLE - material"),""))</f>
        <v>UNFAVORABLE - material</v>
      </c>
    </row>
    <row r="30" spans="1:11" ht="15" customHeight="1" x14ac:dyDescent="0.55000000000000004">
      <c r="A30" s="42" t="s">
        <v>196</v>
      </c>
      <c r="B30" s="59">
        <f>Data_Actuals!$H$20</f>
        <v>165</v>
      </c>
      <c r="C30" s="59">
        <f>Data_Budget!$H$20</f>
        <v>120</v>
      </c>
      <c r="D30" s="43">
        <f t="shared" si="8"/>
        <v>45</v>
      </c>
      <c r="E30" s="32">
        <f t="shared" si="9"/>
        <v>0.375</v>
      </c>
      <c r="F30" s="38" t="str">
        <f>IF(E30="n/m","n/m - see note",IF(AND(ABS(D30)&gt;=Inputs!$H$37,ABS(E30)&gt;=Inputs!$H$38),IF(D30&lt;0,"Favorable - material","UNFAVORABLE - material"),""))</f>
        <v/>
      </c>
      <c r="G30" s="59">
        <f>SUM(Data_Actuals!$D$20:$H$20)</f>
        <v>690</v>
      </c>
      <c r="H30" s="59">
        <f>SUM(Data_Budget!$D$20:$H$20)</f>
        <v>560</v>
      </c>
      <c r="I30" s="43">
        <f t="shared" si="10"/>
        <v>130</v>
      </c>
      <c r="J30" s="32">
        <f t="shared" si="11"/>
        <v>0.23214285714285715</v>
      </c>
      <c r="K30" s="38" t="str">
        <f>IF(J30="n/m","n/m - see note",IF(AND(ABS(I30)&gt;=Inputs!$H$37,ABS(J30)&gt;=Inputs!$H$38),IF(I30&lt;0,"Favorable - material","UNFAVORABLE - material"),""))</f>
        <v>UNFAVORABLE - material</v>
      </c>
    </row>
    <row r="31" spans="1:11" ht="15" customHeight="1" x14ac:dyDescent="0.55000000000000004">
      <c r="A31" s="42" t="s">
        <v>197</v>
      </c>
      <c r="B31" s="59">
        <f>Data_Actuals!$H$21</f>
        <v>92</v>
      </c>
      <c r="C31" s="59">
        <f>Data_Budget!$H$21</f>
        <v>84</v>
      </c>
      <c r="D31" s="43">
        <f t="shared" si="8"/>
        <v>8</v>
      </c>
      <c r="E31" s="32">
        <f t="shared" si="9"/>
        <v>9.5238095238095233E-2</v>
      </c>
      <c r="F31" s="38" t="str">
        <f>IF(E31="n/m","n/m - see note",IF(AND(ABS(D31)&gt;=Inputs!$H$37,ABS(E31)&gt;=Inputs!$H$38),IF(D31&lt;0,"Favorable - material","UNFAVORABLE - material"),""))</f>
        <v/>
      </c>
      <c r="G31" s="59">
        <f>SUM(Data_Actuals!$D$21:$H$21)</f>
        <v>425</v>
      </c>
      <c r="H31" s="59">
        <f>SUM(Data_Budget!$D$21:$H$21)</f>
        <v>408</v>
      </c>
      <c r="I31" s="43">
        <f t="shared" si="10"/>
        <v>17</v>
      </c>
      <c r="J31" s="32">
        <f t="shared" si="11"/>
        <v>4.1666666666666664E-2</v>
      </c>
      <c r="K31" s="38" t="str">
        <f>IF(J31="n/m","n/m - see note",IF(AND(ABS(I31)&gt;=Inputs!$H$37,ABS(J31)&gt;=Inputs!$H$38),IF(I31&lt;0,"Favorable - material","UNFAVORABLE - material"),""))</f>
        <v/>
      </c>
    </row>
    <row r="32" spans="1:11" ht="15" customHeight="1" x14ac:dyDescent="0.55000000000000004">
      <c r="A32" s="42" t="s">
        <v>198</v>
      </c>
      <c r="B32" s="59">
        <f>Data_Actuals!$H$22</f>
        <v>115</v>
      </c>
      <c r="C32" s="59">
        <f>Data_Budget!$H$22</f>
        <v>112</v>
      </c>
      <c r="D32" s="43">
        <f t="shared" si="8"/>
        <v>3</v>
      </c>
      <c r="E32" s="32">
        <f t="shared" si="9"/>
        <v>2.6785714285714284E-2</v>
      </c>
      <c r="F32" s="38" t="str">
        <f>IF(E32="n/m","n/m - see note",IF(AND(ABS(D32)&gt;=Inputs!$H$37,ABS(E32)&gt;=Inputs!$H$38),IF(D32&lt;0,"Favorable - material","UNFAVORABLE - material"),""))</f>
        <v/>
      </c>
      <c r="G32" s="59">
        <f>SUM(Data_Actuals!$D$22:$H$22)</f>
        <v>559</v>
      </c>
      <c r="H32" s="59">
        <f>SUM(Data_Budget!$D$22:$H$22)</f>
        <v>554</v>
      </c>
      <c r="I32" s="43">
        <f t="shared" si="10"/>
        <v>5</v>
      </c>
      <c r="J32" s="32">
        <f t="shared" si="11"/>
        <v>9.0252707581227436E-3</v>
      </c>
      <c r="K32" s="38" t="str">
        <f>IF(J32="n/m","n/m - see note",IF(AND(ABS(I32)&gt;=Inputs!$H$37,ABS(J32)&gt;=Inputs!$H$38),IF(I32&lt;0,"Favorable - material","UNFAVORABLE - material"),""))</f>
        <v/>
      </c>
    </row>
    <row r="33" spans="1:11" ht="15" customHeight="1" x14ac:dyDescent="0.55000000000000004">
      <c r="A33" s="42" t="s">
        <v>199</v>
      </c>
      <c r="B33" s="59">
        <f>Data_Actuals!$H$23</f>
        <v>60</v>
      </c>
      <c r="C33" s="59">
        <f>Data_Budget!$H$23</f>
        <v>50</v>
      </c>
      <c r="D33" s="43">
        <f t="shared" si="8"/>
        <v>10</v>
      </c>
      <c r="E33" s="32">
        <f t="shared" si="9"/>
        <v>0.2</v>
      </c>
      <c r="F33" s="38" t="str">
        <f>IF(E33="n/m","n/m - see note",IF(AND(ABS(D33)&gt;=Inputs!$H$37,ABS(E33)&gt;=Inputs!$H$38),IF(D33&lt;0,"Favorable - material","UNFAVORABLE - material"),""))</f>
        <v/>
      </c>
      <c r="G33" s="59">
        <f>SUM(Data_Actuals!$D$23:$H$23)</f>
        <v>236</v>
      </c>
      <c r="H33" s="59">
        <f>SUM(Data_Budget!$D$23:$H$23)</f>
        <v>236</v>
      </c>
      <c r="I33" s="43">
        <f t="shared" si="10"/>
        <v>0</v>
      </c>
      <c r="J33" s="32">
        <f t="shared" si="11"/>
        <v>0</v>
      </c>
      <c r="K33" s="38" t="str">
        <f>IF(J33="n/m","n/m - see note",IF(AND(ABS(I33)&gt;=Inputs!$H$37,ABS(J33)&gt;=Inputs!$H$38),IF(I33&lt;0,"Favorable - material","UNFAVORABLE - material"),""))</f>
        <v/>
      </c>
    </row>
    <row r="34" spans="1:11" ht="15" customHeight="1" x14ac:dyDescent="0.55000000000000004">
      <c r="A34" s="40" t="s">
        <v>161</v>
      </c>
      <c r="B34" s="51">
        <f>SUM(B24:B33)</f>
        <v>4342</v>
      </c>
      <c r="C34" s="51">
        <f>SUM(C24:C33)</f>
        <v>3891</v>
      </c>
      <c r="D34" s="43">
        <f t="shared" si="8"/>
        <v>451</v>
      </c>
      <c r="E34" s="32">
        <f t="shared" si="9"/>
        <v>0.11590850681058854</v>
      </c>
      <c r="F34" s="38" t="str">
        <f>IF(E34="n/m","n/m - see note",IF(AND(ABS(D34)&gt;=Inputs!$H$37,ABS(E34)&gt;=Inputs!$H$38),IF(D34&lt;0,"Favorable - material","UNFAVORABLE - material"),""))</f>
        <v>UNFAVORABLE - material</v>
      </c>
      <c r="G34" s="51">
        <f>SUM(G24:G33)</f>
        <v>19763</v>
      </c>
      <c r="H34" s="51">
        <f>SUM(H24:H33)</f>
        <v>18803</v>
      </c>
      <c r="I34" s="43">
        <f t="shared" si="10"/>
        <v>960</v>
      </c>
      <c r="J34" s="32">
        <f t="shared" si="11"/>
        <v>5.105568260383981E-2</v>
      </c>
      <c r="K34" s="38" t="str">
        <f>IF(J34="n/m","n/m - see note",IF(AND(ABS(I34)&gt;=Inputs!$H$37,ABS(J34)&gt;=Inputs!$H$38),IF(I34&lt;0,"Favorable - material","UNFAVORABLE - material"),""))</f>
        <v/>
      </c>
    </row>
    <row r="35" spans="1:11" ht="15" customHeight="1" x14ac:dyDescent="0.55000000000000004">
      <c r="A35" s="40" t="s">
        <v>162</v>
      </c>
      <c r="B35" s="60">
        <f>B22-B34</f>
        <v>-1656</v>
      </c>
      <c r="C35" s="60">
        <f>C22-C34</f>
        <v>-1213</v>
      </c>
      <c r="D35" s="43">
        <f t="shared" si="8"/>
        <v>-443</v>
      </c>
      <c r="E35" s="32">
        <f t="shared" si="9"/>
        <v>-0.36521022258862323</v>
      </c>
      <c r="F35" s="38" t="str">
        <f>IF(E35="n/m","n/m - see note",IF(AND(ABS(D35)&gt;=Inputs!$H$37,ABS(E35)&gt;=Inputs!$H$38),IF(D35&gt;0,"Favorable - material","UNFAVORABLE - material"),""))</f>
        <v>UNFAVORABLE - material</v>
      </c>
      <c r="G35" s="60">
        <f>G22-G34</f>
        <v>-7028</v>
      </c>
      <c r="H35" s="60">
        <f>H22-H34</f>
        <v>-6158</v>
      </c>
      <c r="I35" s="43">
        <f t="shared" si="10"/>
        <v>-870</v>
      </c>
      <c r="J35" s="32">
        <f t="shared" si="11"/>
        <v>-0.14127963624553427</v>
      </c>
      <c r="K35" s="38" t="str">
        <f>IF(J35="n/m","n/m - see note",IF(AND(ABS(I35)&gt;=Inputs!$H$37,ABS(J35)&gt;=Inputs!$H$38),IF(I35&gt;0,"Favorable - material","UNFAVORABLE - material"),""))</f>
        <v>UNFAVORABLE - material</v>
      </c>
    </row>
    <row r="36" spans="1:11" ht="15" customHeight="1" x14ac:dyDescent="0.55000000000000004">
      <c r="A36" s="42" t="s">
        <v>200</v>
      </c>
      <c r="B36" s="59">
        <f>Data_Actuals!$H$11</f>
        <v>1450</v>
      </c>
      <c r="C36" s="59">
        <f>Data_Budget!$H$11</f>
        <v>0</v>
      </c>
      <c r="D36" s="43">
        <f t="shared" si="8"/>
        <v>1450</v>
      </c>
      <c r="E36" s="32" t="str">
        <f t="shared" si="9"/>
        <v>n/m</v>
      </c>
      <c r="F36" s="38" t="str">
        <f>IF(E36="n/m","n/m - see note",IF(AND(ABS(D36)&gt;=Inputs!$H$37,ABS(E36)&gt;=Inputs!$H$38),IF(D36&gt;0,"Favorable - material","UNFAVORABLE - material"),""))</f>
        <v>n/m - see note</v>
      </c>
      <c r="G36" s="59">
        <f>SUM(Data_Actuals!$D$11:$H$11)</f>
        <v>2300</v>
      </c>
      <c r="H36" s="59">
        <f>SUM(Data_Budget!$D$11:$H$11)</f>
        <v>0</v>
      </c>
      <c r="I36" s="43">
        <f t="shared" si="10"/>
        <v>2300</v>
      </c>
      <c r="J36" s="32" t="str">
        <f t="shared" si="11"/>
        <v>n/m</v>
      </c>
      <c r="K36" s="38" t="str">
        <f>IF(J36="n/m","n/m - see note",IF(AND(ABS(I36)&gt;=Inputs!$H$37,ABS(J36)&gt;=Inputs!$H$38),IF(I36&gt;0,"Favorable - material","UNFAVORABLE - material"),""))</f>
        <v>n/m - see note</v>
      </c>
    </row>
    <row r="37" spans="1:11" ht="15" customHeight="1" x14ac:dyDescent="0.55000000000000004">
      <c r="A37" s="40" t="s">
        <v>201</v>
      </c>
      <c r="B37" s="60">
        <f>B35+B36</f>
        <v>-206</v>
      </c>
      <c r="C37" s="60">
        <f>C35+C36</f>
        <v>-1213</v>
      </c>
      <c r="D37" s="43">
        <f t="shared" si="8"/>
        <v>1007</v>
      </c>
      <c r="E37" s="32">
        <f t="shared" si="9"/>
        <v>0.83017312448474856</v>
      </c>
      <c r="F37" s="38" t="str">
        <f>IF(E37="n/m","n/m - see note",IF(AND(ABS(D37)&gt;=Inputs!$H$37,ABS(E37)&gt;=Inputs!$H$38),IF(D37&gt;0,"Favorable - material","UNFAVORABLE - material"),""))</f>
        <v>Favorable - material</v>
      </c>
      <c r="G37" s="60">
        <f>G35+G36</f>
        <v>-4728</v>
      </c>
      <c r="H37" s="60">
        <f>H35+H36</f>
        <v>-6158</v>
      </c>
      <c r="I37" s="43">
        <f t="shared" si="10"/>
        <v>1430</v>
      </c>
      <c r="J37" s="32">
        <f t="shared" si="11"/>
        <v>0.23221825267944138</v>
      </c>
      <c r="K37" s="38" t="str">
        <f>IF(J37="n/m","n/m - see note",IF(AND(ABS(I37)&gt;=Inputs!$H$37,ABS(J37)&gt;=Inputs!$H$38),IF(I37&gt;0,"Favorable - material","UNFAVORABLE - material"),""))</f>
        <v>Favorable - material</v>
      </c>
    </row>
    <row r="39" spans="1:11" ht="15" customHeight="1" x14ac:dyDescent="0.55000000000000004">
      <c r="A39" s="4" t="s">
        <v>202</v>
      </c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ht="15" customHeight="1" x14ac:dyDescent="0.5500000000000000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</sheetData>
  <mergeCells count="2">
    <mergeCell ref="A2:L2"/>
    <mergeCell ref="A39:K4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F15"/>
  <sheetViews>
    <sheetView zoomScaleNormal="100" workbookViewId="0"/>
  </sheetViews>
  <sheetFormatPr defaultColWidth="8.68359375" defaultRowHeight="14.4" x14ac:dyDescent="0.55000000000000004"/>
  <cols>
    <col min="1" max="1" width="46" style="13" customWidth="1"/>
    <col min="2" max="3" width="14" style="13" customWidth="1"/>
    <col min="4" max="4" width="22.734375" style="13" customWidth="1"/>
    <col min="5" max="6" width="10" style="13" customWidth="1"/>
    <col min="7" max="16384" width="8.68359375" style="13"/>
  </cols>
  <sheetData>
    <row r="1" spans="1:6" ht="17.25" customHeight="1" x14ac:dyDescent="0.55000000000000004">
      <c r="A1" s="61" t="s">
        <v>203</v>
      </c>
    </row>
    <row r="2" spans="1:6" ht="21.75" customHeight="1" x14ac:dyDescent="0.55000000000000004">
      <c r="A2" s="4" t="s">
        <v>204</v>
      </c>
      <c r="B2" s="4"/>
      <c r="C2" s="4"/>
      <c r="D2" s="4"/>
      <c r="E2" s="4"/>
      <c r="F2" s="4"/>
    </row>
    <row r="4" spans="1:6" ht="40.5" customHeight="1" x14ac:dyDescent="0.55000000000000004">
      <c r="A4" s="56" t="s">
        <v>205</v>
      </c>
      <c r="B4" s="56" t="s">
        <v>206</v>
      </c>
      <c r="C4" s="56" t="s">
        <v>207</v>
      </c>
      <c r="D4" s="62" t="s">
        <v>208</v>
      </c>
      <c r="E4" s="56" t="s">
        <v>209</v>
      </c>
      <c r="F4" s="56" t="s">
        <v>210</v>
      </c>
    </row>
    <row r="5" spans="1:6" ht="15" customHeight="1" x14ac:dyDescent="0.55000000000000004">
      <c r="A5" s="42" t="s">
        <v>211</v>
      </c>
      <c r="B5" s="63" t="s">
        <v>212</v>
      </c>
      <c r="C5" s="59">
        <f>BvA!B20</f>
        <v>3406</v>
      </c>
      <c r="D5" s="64">
        <f>Data_Actuals!H5+Data_Actuals!H6+Data_Actuals!H7+Data_Actuals!H8+Data_Actuals!H9+Data_Actuals!H10</f>
        <v>3406</v>
      </c>
      <c r="E5" s="64">
        <f t="shared" ref="E5:E10" si="0">C5-D5</f>
        <v>0</v>
      </c>
      <c r="F5" s="45" t="str">
        <f t="shared" ref="F5:F10" si="1">IF(ROUND(E5,6)=0,"TIE","BREAK")</f>
        <v>TIE</v>
      </c>
    </row>
    <row r="6" spans="1:6" ht="15" customHeight="1" x14ac:dyDescent="0.55000000000000004">
      <c r="A6" s="42" t="s">
        <v>213</v>
      </c>
      <c r="B6" s="63" t="s">
        <v>214</v>
      </c>
      <c r="C6" s="59">
        <f>BvA!B35</f>
        <v>-1656</v>
      </c>
      <c r="D6" s="64">
        <f>Data_Actuals!H5+Data_Actuals!H6+Data_Actuals!H7+Data_Actuals!H8+Data_Actuals!H9+Data_Actuals!H10-(Data_Actuals!H12+Data_Actuals!H13)-(Data_Actuals!H14+Data_Actuals!H15+Data_Actuals!H16+Data_Actuals!H17+Data_Actuals!H18+Data_Actuals!H19+Data_Actuals!H20+Data_Actuals!H21+Data_Actuals!H22+Data_Actuals!H23)</f>
        <v>-1656</v>
      </c>
      <c r="E6" s="64">
        <f t="shared" si="0"/>
        <v>0</v>
      </c>
      <c r="F6" s="45" t="str">
        <f t="shared" si="1"/>
        <v>TIE</v>
      </c>
    </row>
    <row r="7" spans="1:6" ht="15" customHeight="1" x14ac:dyDescent="0.55000000000000004">
      <c r="A7" s="42" t="s">
        <v>215</v>
      </c>
      <c r="B7" s="63" t="s">
        <v>216</v>
      </c>
      <c r="C7" s="59">
        <f>BvA!G35</f>
        <v>-7028</v>
      </c>
      <c r="D7" s="64">
        <f>SUM(Data_Actuals!D5:H5)+SUM(Data_Actuals!D6:H6)+SUM(Data_Actuals!D7:H7)+SUM(Data_Actuals!D8:H8)+SUM(Data_Actuals!D9:H9)+SUM(Data_Actuals!D10:H10)-(SUM(Data_Actuals!D12:H12)+SUM(Data_Actuals!D13:H13))-(SUM(Data_Actuals!D14:H14)+SUM(Data_Actuals!D15:H15)+SUM(Data_Actuals!D16:H16)+SUM(Data_Actuals!D17:H17)+SUM(Data_Actuals!D18:H18)+SUM(Data_Actuals!D19:H19)+SUM(Data_Actuals!D20:H20)+SUM(Data_Actuals!D21:H21)+SUM(Data_Actuals!D22:H22)+SUM(Data_Actuals!D23:H23))</f>
        <v>-7028</v>
      </c>
      <c r="E7" s="64">
        <f t="shared" si="0"/>
        <v>0</v>
      </c>
      <c r="F7" s="45" t="str">
        <f t="shared" si="1"/>
        <v>TIE</v>
      </c>
    </row>
    <row r="8" spans="1:6" ht="15" customHeight="1" x14ac:dyDescent="0.55000000000000004">
      <c r="A8" s="42" t="s">
        <v>217</v>
      </c>
      <c r="B8" s="63" t="s">
        <v>218</v>
      </c>
      <c r="C8" s="59">
        <f>BvA!G36</f>
        <v>2300</v>
      </c>
      <c r="D8" s="64">
        <f>SUM(Data_Actuals!D11:H11)</f>
        <v>2300</v>
      </c>
      <c r="E8" s="64">
        <f t="shared" si="0"/>
        <v>0</v>
      </c>
      <c r="F8" s="45" t="str">
        <f t="shared" si="1"/>
        <v>TIE</v>
      </c>
    </row>
    <row r="9" spans="1:6" ht="15" customHeight="1" x14ac:dyDescent="0.55000000000000004">
      <c r="A9" s="42" t="s">
        <v>219</v>
      </c>
      <c r="B9" s="63" t="s">
        <v>220</v>
      </c>
      <c r="C9" s="59">
        <f>GL_Recon!B7</f>
        <v>1380</v>
      </c>
      <c r="D9" s="64">
        <f>Data_Actuals!H9</f>
        <v>1380</v>
      </c>
      <c r="E9" s="64">
        <f t="shared" si="0"/>
        <v>0</v>
      </c>
      <c r="F9" s="45" t="str">
        <f t="shared" si="1"/>
        <v>TIE</v>
      </c>
    </row>
    <row r="10" spans="1:6" ht="15" customHeight="1" x14ac:dyDescent="0.55000000000000004">
      <c r="A10" s="42" t="s">
        <v>221</v>
      </c>
      <c r="B10" s="63" t="s">
        <v>222</v>
      </c>
      <c r="C10" s="59">
        <f>Forecast!H5</f>
        <v>-17359.331588113389</v>
      </c>
      <c r="D10" s="64">
        <f>Forecast!N39</f>
        <v>-17359.331588113389</v>
      </c>
      <c r="E10" s="64">
        <f t="shared" si="0"/>
        <v>0</v>
      </c>
      <c r="F10" s="45" t="str">
        <f t="shared" si="1"/>
        <v>TIE</v>
      </c>
    </row>
    <row r="12" spans="1:6" ht="15" customHeight="1" x14ac:dyDescent="0.55000000000000004">
      <c r="A12" s="4" t="s">
        <v>223</v>
      </c>
      <c r="B12" s="4"/>
      <c r="C12" s="4"/>
      <c r="D12" s="4"/>
      <c r="E12" s="4"/>
      <c r="F12" s="4"/>
    </row>
    <row r="13" spans="1:6" ht="15" customHeight="1" x14ac:dyDescent="0.55000000000000004">
      <c r="A13" s="4"/>
      <c r="B13" s="4"/>
      <c r="C13" s="4"/>
      <c r="D13" s="4"/>
      <c r="E13" s="4"/>
      <c r="F13" s="4"/>
    </row>
    <row r="15" spans="1:6" ht="21.75" customHeight="1" x14ac:dyDescent="0.55000000000000004">
      <c r="A15" s="4" t="s">
        <v>224</v>
      </c>
      <c r="B15" s="4"/>
      <c r="C15" s="4"/>
      <c r="D15" s="4"/>
      <c r="E15" s="4"/>
      <c r="F15" s="4"/>
    </row>
  </sheetData>
  <mergeCells count="3">
    <mergeCell ref="A2:F2"/>
    <mergeCell ref="A12:F13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DEADA"/>
  </sheetPr>
  <dimension ref="A1:H41"/>
  <sheetViews>
    <sheetView zoomScaleNormal="100" workbookViewId="0"/>
  </sheetViews>
  <sheetFormatPr defaultColWidth="8.68359375" defaultRowHeight="14.4" x14ac:dyDescent="0.55000000000000004"/>
  <cols>
    <col min="1" max="1" width="38" style="13" customWidth="1"/>
    <col min="2" max="3" width="14" style="13" customWidth="1"/>
    <col min="4" max="4" width="12" style="13" customWidth="1"/>
    <col min="5" max="5" width="10" style="13" customWidth="1"/>
    <col min="6" max="6" width="80" style="13" customWidth="1"/>
    <col min="7" max="16384" width="8.68359375" style="13"/>
  </cols>
  <sheetData>
    <row r="1" spans="1:8" ht="17.25" customHeight="1" x14ac:dyDescent="0.55000000000000004">
      <c r="A1" s="61" t="s">
        <v>225</v>
      </c>
    </row>
    <row r="2" spans="1:8" ht="33.75" customHeight="1" x14ac:dyDescent="0.55000000000000004">
      <c r="A2" s="4" t="s">
        <v>226</v>
      </c>
      <c r="B2" s="4"/>
      <c r="C2" s="4"/>
      <c r="D2" s="4"/>
      <c r="E2" s="4"/>
      <c r="F2" s="4"/>
      <c r="G2" s="4"/>
      <c r="H2" s="4"/>
    </row>
    <row r="4" spans="1:8" ht="15" customHeight="1" x14ac:dyDescent="0.55000000000000004">
      <c r="A4" s="56" t="s">
        <v>227</v>
      </c>
      <c r="B4" s="56" t="s">
        <v>228</v>
      </c>
      <c r="C4" s="56" t="s">
        <v>229</v>
      </c>
      <c r="D4" s="56" t="s">
        <v>230</v>
      </c>
      <c r="E4" s="56" t="s">
        <v>231</v>
      </c>
      <c r="F4" s="56" t="s">
        <v>232</v>
      </c>
    </row>
    <row r="5" spans="1:8" ht="30" customHeight="1" x14ac:dyDescent="0.55000000000000004">
      <c r="A5" s="42" t="s">
        <v>154</v>
      </c>
      <c r="B5" s="64">
        <f>SUMIFS(GL_Detail!$I$5:$I$27,GL_Detail!$C$5:$C$27,"Cloud &amp; Infrastructure")</f>
        <v>510</v>
      </c>
      <c r="C5" s="59">
        <f>Data_Actuals!$H$17</f>
        <v>480</v>
      </c>
      <c r="D5" s="64">
        <f>B5-C5</f>
        <v>30</v>
      </c>
      <c r="E5" s="65" t="str">
        <f>IF(D5=0,"TIES","BREAK")</f>
        <v>BREAK</v>
      </c>
      <c r="F5" s="66" t="s">
        <v>233</v>
      </c>
    </row>
    <row r="6" spans="1:8" ht="30" customHeight="1" x14ac:dyDescent="0.55000000000000004">
      <c r="A6" s="42" t="s">
        <v>156</v>
      </c>
      <c r="B6" s="64">
        <f>SUMIFS(GL_Detail!$I$5:$I$27,GL_Detail!$C$5:$C$27,"Travel &amp; Events")</f>
        <v>175</v>
      </c>
      <c r="C6" s="59">
        <f>Data_Actuals!$H$19</f>
        <v>175</v>
      </c>
      <c r="D6" s="64">
        <f>B6-C6</f>
        <v>0</v>
      </c>
      <c r="E6" s="65" t="str">
        <f>IF(D6=0,"TIES","BREAK")</f>
        <v>TIES</v>
      </c>
      <c r="F6" s="66" t="s">
        <v>234</v>
      </c>
    </row>
    <row r="7" spans="1:8" ht="30" customHeight="1" x14ac:dyDescent="0.55000000000000004">
      <c r="A7" s="42" t="s">
        <v>144</v>
      </c>
      <c r="B7" s="64">
        <f>SUMIFS(GL_Detail!$I$5:$I$27,GL_Detail!$C$5:$C$27,"Blockstream AMP (SaaS)")</f>
        <v>1380</v>
      </c>
      <c r="C7" s="59">
        <f>Data_Actuals!$H$9</f>
        <v>1380</v>
      </c>
      <c r="D7" s="64">
        <f>B7-C7</f>
        <v>0</v>
      </c>
      <c r="E7" s="65" t="str">
        <f>IF(D7=0,"TIES","BREAK")</f>
        <v>TIES</v>
      </c>
      <c r="F7" s="66" t="s">
        <v>235</v>
      </c>
    </row>
    <row r="8" spans="1:8" ht="30" customHeight="1" x14ac:dyDescent="0.55000000000000004">
      <c r="A8" s="42" t="s">
        <v>157</v>
      </c>
      <c r="B8" s="64">
        <f>SUMIFS(GL_Detail!$I$5:$I$27,GL_Detail!$C$5:$C$27,"Professional Services")</f>
        <v>165</v>
      </c>
      <c r="C8" s="59">
        <f>Data_Actuals!$H$20</f>
        <v>165</v>
      </c>
      <c r="D8" s="64">
        <f>B8-C8</f>
        <v>0</v>
      </c>
      <c r="E8" s="65" t="str">
        <f>IF(D8=0,"TIES","BREAK")</f>
        <v>TIES</v>
      </c>
      <c r="F8" s="67" t="s">
        <v>236</v>
      </c>
    </row>
    <row r="9" spans="1:8" ht="30" customHeight="1" x14ac:dyDescent="0.55000000000000004">
      <c r="A9" s="42" t="s">
        <v>158</v>
      </c>
      <c r="B9" s="64">
        <f>SUMIFS(GL_Detail!$I$5:$I$27,GL_Detail!$C$5:$C$27,"Software &amp; Tools")</f>
        <v>92</v>
      </c>
      <c r="C9" s="59">
        <f>Data_Actuals!$H$21</f>
        <v>92</v>
      </c>
      <c r="D9" s="64">
        <f>B9-C9</f>
        <v>0</v>
      </c>
      <c r="E9" s="65" t="str">
        <f>IF(D9=0,"TIES","BREAK")</f>
        <v>TIES</v>
      </c>
      <c r="F9" s="67" t="s">
        <v>237</v>
      </c>
    </row>
    <row r="11" spans="1:8" ht="15" customHeight="1" x14ac:dyDescent="0.55000000000000004">
      <c r="A11" s="3" t="s">
        <v>238</v>
      </c>
      <c r="B11" s="3"/>
      <c r="C11" s="3"/>
      <c r="D11" s="3"/>
      <c r="E11" s="3"/>
      <c r="F11" s="3"/>
    </row>
    <row r="12" spans="1:8" ht="15" customHeight="1" x14ac:dyDescent="0.55000000000000004">
      <c r="A12" s="2" t="s">
        <v>239</v>
      </c>
      <c r="B12" s="2"/>
      <c r="C12" s="2"/>
      <c r="D12" s="2"/>
      <c r="E12" s="2"/>
      <c r="F12" s="2"/>
    </row>
    <row r="13" spans="1:8" ht="39" customHeight="1" x14ac:dyDescent="0.55000000000000004">
      <c r="A13" s="40" t="s">
        <v>240</v>
      </c>
      <c r="B13" s="1" t="s">
        <v>241</v>
      </c>
      <c r="C13" s="1"/>
      <c r="D13" s="1"/>
      <c r="E13" s="1"/>
      <c r="F13" s="1"/>
    </row>
    <row r="14" spans="1:8" ht="25.5" customHeight="1" x14ac:dyDescent="0.55000000000000004">
      <c r="A14" s="40" t="s">
        <v>242</v>
      </c>
      <c r="B14" s="1" t="s">
        <v>243</v>
      </c>
      <c r="C14" s="1"/>
      <c r="D14" s="1"/>
      <c r="E14" s="1"/>
      <c r="F14" s="1"/>
    </row>
    <row r="15" spans="1:8" ht="25.5" customHeight="1" x14ac:dyDescent="0.55000000000000004">
      <c r="A15" s="40" t="s">
        <v>244</v>
      </c>
      <c r="B15" s="1" t="s">
        <v>245</v>
      </c>
      <c r="C15" s="1"/>
      <c r="D15" s="1"/>
      <c r="E15" s="1"/>
      <c r="F15" s="1"/>
    </row>
    <row r="16" spans="1:8" ht="25.5" customHeight="1" x14ac:dyDescent="0.55000000000000004">
      <c r="A16" s="40" t="s">
        <v>246</v>
      </c>
      <c r="B16" s="1" t="s">
        <v>247</v>
      </c>
      <c r="C16" s="1"/>
      <c r="D16" s="1"/>
      <c r="E16" s="1"/>
      <c r="F16" s="1"/>
    </row>
    <row r="17" spans="1:6" ht="25.5" customHeight="1" x14ac:dyDescent="0.55000000000000004">
      <c r="A17" s="40" t="s">
        <v>248</v>
      </c>
      <c r="B17" s="1" t="s">
        <v>249</v>
      </c>
      <c r="C17" s="1"/>
      <c r="D17" s="1"/>
      <c r="E17" s="1"/>
      <c r="F17" s="1"/>
    </row>
    <row r="19" spans="1:6" ht="15" customHeight="1" x14ac:dyDescent="0.55000000000000004">
      <c r="A19" s="2" t="s">
        <v>250</v>
      </c>
      <c r="B19" s="2"/>
      <c r="C19" s="2"/>
      <c r="D19" s="2"/>
      <c r="E19" s="2"/>
      <c r="F19" s="2"/>
    </row>
    <row r="20" spans="1:6" ht="39" customHeight="1" x14ac:dyDescent="0.55000000000000004">
      <c r="A20" s="40" t="s">
        <v>240</v>
      </c>
      <c r="B20" s="1" t="s">
        <v>251</v>
      </c>
      <c r="C20" s="1"/>
      <c r="D20" s="1"/>
      <c r="E20" s="1"/>
      <c r="F20" s="1"/>
    </row>
    <row r="21" spans="1:6" ht="25.5" customHeight="1" x14ac:dyDescent="0.55000000000000004">
      <c r="A21" s="40" t="s">
        <v>242</v>
      </c>
      <c r="B21" s="1" t="s">
        <v>252</v>
      </c>
      <c r="C21" s="1"/>
      <c r="D21" s="1"/>
      <c r="E21" s="1"/>
      <c r="F21" s="1"/>
    </row>
    <row r="22" spans="1:6" ht="25.5" customHeight="1" x14ac:dyDescent="0.55000000000000004">
      <c r="A22" s="40" t="s">
        <v>244</v>
      </c>
      <c r="B22" s="1" t="s">
        <v>253</v>
      </c>
      <c r="C22" s="1"/>
      <c r="D22" s="1"/>
      <c r="E22" s="1"/>
      <c r="F22" s="1"/>
    </row>
    <row r="23" spans="1:6" ht="25.5" customHeight="1" x14ac:dyDescent="0.55000000000000004">
      <c r="A23" s="40" t="s">
        <v>246</v>
      </c>
      <c r="B23" s="1" t="s">
        <v>254</v>
      </c>
      <c r="C23" s="1"/>
      <c r="D23" s="1"/>
      <c r="E23" s="1"/>
      <c r="F23" s="1"/>
    </row>
    <row r="24" spans="1:6" ht="25.5" customHeight="1" x14ac:dyDescent="0.55000000000000004">
      <c r="A24" s="40" t="s">
        <v>255</v>
      </c>
      <c r="B24" s="1" t="s">
        <v>256</v>
      </c>
      <c r="C24" s="1"/>
      <c r="D24" s="1"/>
      <c r="E24" s="1"/>
      <c r="F24" s="1"/>
    </row>
    <row r="26" spans="1:6" ht="15" customHeight="1" x14ac:dyDescent="0.55000000000000004">
      <c r="A26" s="2" t="s">
        <v>257</v>
      </c>
      <c r="B26" s="2"/>
      <c r="C26" s="2"/>
      <c r="D26" s="2"/>
      <c r="E26" s="2"/>
      <c r="F26" s="2"/>
    </row>
    <row r="27" spans="1:6" ht="51.75" customHeight="1" x14ac:dyDescent="0.55000000000000004">
      <c r="A27" s="40" t="s">
        <v>240</v>
      </c>
      <c r="B27" s="1" t="s">
        <v>258</v>
      </c>
      <c r="C27" s="1"/>
      <c r="D27" s="1"/>
      <c r="E27" s="1"/>
      <c r="F27" s="1"/>
    </row>
    <row r="28" spans="1:6" ht="25.5" customHeight="1" x14ac:dyDescent="0.55000000000000004">
      <c r="A28" s="40" t="s">
        <v>242</v>
      </c>
      <c r="B28" s="1" t="s">
        <v>259</v>
      </c>
      <c r="C28" s="1"/>
      <c r="D28" s="1"/>
      <c r="E28" s="1"/>
      <c r="F28" s="1"/>
    </row>
    <row r="29" spans="1:6" ht="25.5" customHeight="1" x14ac:dyDescent="0.55000000000000004">
      <c r="A29" s="40" t="s">
        <v>244</v>
      </c>
      <c r="B29" s="1" t="s">
        <v>260</v>
      </c>
      <c r="C29" s="1"/>
      <c r="D29" s="1"/>
      <c r="E29" s="1"/>
      <c r="F29" s="1"/>
    </row>
    <row r="30" spans="1:6" ht="39" customHeight="1" x14ac:dyDescent="0.55000000000000004">
      <c r="A30" s="40" t="s">
        <v>246</v>
      </c>
      <c r="B30" s="1" t="s">
        <v>261</v>
      </c>
      <c r="C30" s="1"/>
      <c r="D30" s="1"/>
      <c r="E30" s="1"/>
      <c r="F30" s="1"/>
    </row>
    <row r="31" spans="1:6" ht="25.5" customHeight="1" x14ac:dyDescent="0.55000000000000004">
      <c r="A31" s="40" t="s">
        <v>255</v>
      </c>
      <c r="B31" s="1" t="s">
        <v>262</v>
      </c>
      <c r="C31" s="1"/>
      <c r="D31" s="1"/>
      <c r="E31" s="1"/>
      <c r="F31" s="1"/>
    </row>
    <row r="33" spans="1:6" ht="15" customHeight="1" x14ac:dyDescent="0.55000000000000004">
      <c r="A33" s="3" t="s">
        <v>263</v>
      </c>
      <c r="B33" s="3"/>
      <c r="C33" s="3"/>
      <c r="D33" s="3"/>
      <c r="E33" s="3"/>
      <c r="F33" s="3"/>
    </row>
    <row r="34" spans="1:6" ht="15" customHeight="1" x14ac:dyDescent="0.55000000000000004">
      <c r="A34" s="42" t="s">
        <v>264</v>
      </c>
      <c r="B34" s="64">
        <f>BvA!B35</f>
        <v>-1656</v>
      </c>
    </row>
    <row r="35" spans="1:6" ht="15" customHeight="1" x14ac:dyDescent="0.55000000000000004">
      <c r="A35" s="42" t="s">
        <v>265</v>
      </c>
      <c r="B35" s="64">
        <f>150</f>
        <v>150</v>
      </c>
    </row>
    <row r="36" spans="1:6" ht="15" customHeight="1" x14ac:dyDescent="0.55000000000000004">
      <c r="A36" s="42" t="s">
        <v>266</v>
      </c>
      <c r="B36" s="64">
        <f>-132</f>
        <v>-132</v>
      </c>
    </row>
    <row r="37" spans="1:6" ht="15" customHeight="1" x14ac:dyDescent="0.55000000000000004">
      <c r="A37" s="42" t="s">
        <v>267</v>
      </c>
      <c r="B37" s="64">
        <f>0</f>
        <v>0</v>
      </c>
    </row>
    <row r="38" spans="1:6" ht="15" customHeight="1" x14ac:dyDescent="0.55000000000000004">
      <c r="A38" s="40" t="s">
        <v>268</v>
      </c>
      <c r="B38" s="51">
        <f>B34+B35+B36+B37</f>
        <v>-1638</v>
      </c>
    </row>
    <row r="40" spans="1:6" ht="15" customHeight="1" x14ac:dyDescent="0.55000000000000004">
      <c r="A40" s="4" t="s">
        <v>269</v>
      </c>
      <c r="B40" s="4"/>
      <c r="C40" s="4"/>
      <c r="D40" s="4"/>
      <c r="E40" s="4"/>
      <c r="F40" s="4"/>
    </row>
    <row r="41" spans="1:6" ht="15" customHeight="1" x14ac:dyDescent="0.55000000000000004">
      <c r="A41" s="4"/>
      <c r="B41" s="4"/>
      <c r="C41" s="4"/>
      <c r="D41" s="4"/>
      <c r="E41" s="4"/>
      <c r="F41" s="4"/>
    </row>
  </sheetData>
  <mergeCells count="22">
    <mergeCell ref="A33:F33"/>
    <mergeCell ref="A40:F41"/>
    <mergeCell ref="B27:F27"/>
    <mergeCell ref="B28:F28"/>
    <mergeCell ref="B29:F29"/>
    <mergeCell ref="B30:F30"/>
    <mergeCell ref="B31:F31"/>
    <mergeCell ref="B21:F21"/>
    <mergeCell ref="B22:F22"/>
    <mergeCell ref="B23:F23"/>
    <mergeCell ref="B24:F24"/>
    <mergeCell ref="A26:F26"/>
    <mergeCell ref="B15:F15"/>
    <mergeCell ref="B16:F16"/>
    <mergeCell ref="B17:F17"/>
    <mergeCell ref="A19:F19"/>
    <mergeCell ref="B20:F20"/>
    <mergeCell ref="A2:H2"/>
    <mergeCell ref="A11:F11"/>
    <mergeCell ref="A12:F12"/>
    <mergeCell ref="B13:F13"/>
    <mergeCell ref="B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DEADA"/>
  </sheetPr>
  <dimension ref="A1:E11"/>
  <sheetViews>
    <sheetView zoomScaleNormal="100" workbookViewId="0"/>
  </sheetViews>
  <sheetFormatPr defaultColWidth="8.68359375" defaultRowHeight="14.4" x14ac:dyDescent="0.55000000000000004"/>
  <cols>
    <col min="1" max="1" width="42" customWidth="1"/>
    <col min="2" max="4" width="16" customWidth="1"/>
    <col min="5" max="5" width="4" customWidth="1"/>
  </cols>
  <sheetData>
    <row r="1" spans="1:5" ht="17.25" customHeight="1" x14ac:dyDescent="0.55000000000000004">
      <c r="A1" s="61" t="s">
        <v>270</v>
      </c>
      <c r="B1" s="13"/>
      <c r="C1" s="13"/>
      <c r="D1" s="13"/>
      <c r="E1" s="13"/>
    </row>
    <row r="2" spans="1:5" ht="39.75" customHeight="1" x14ac:dyDescent="0.55000000000000004">
      <c r="A2" s="4" t="s">
        <v>271</v>
      </c>
      <c r="B2" s="4"/>
      <c r="C2" s="4"/>
      <c r="D2" s="4"/>
      <c r="E2" s="4"/>
    </row>
    <row r="4" spans="1:5" ht="15" customHeight="1" x14ac:dyDescent="0.55000000000000004">
      <c r="A4" s="56"/>
      <c r="B4" s="56" t="s">
        <v>272</v>
      </c>
      <c r="C4" s="56" t="s">
        <v>273</v>
      </c>
      <c r="D4" s="56" t="s">
        <v>274</v>
      </c>
    </row>
    <row r="5" spans="1:5" ht="15" customHeight="1" x14ac:dyDescent="0.55000000000000004">
      <c r="A5" s="68" t="s">
        <v>275</v>
      </c>
      <c r="B5" s="69">
        <f>Data_KPIs!G16/(Data_KPIs!G16+Data_KPIs!G17)</f>
        <v>0.37853107344632769</v>
      </c>
      <c r="C5" s="69">
        <f>Data_KPIs!G17/(Data_KPIs!G16+Data_KPIs!G17)</f>
        <v>0.62146892655367236</v>
      </c>
      <c r="D5" s="69">
        <f>B5+C5</f>
        <v>1</v>
      </c>
    </row>
    <row r="6" spans="1:5" ht="15" customHeight="1" x14ac:dyDescent="0.55000000000000004">
      <c r="A6" s="68" t="s">
        <v>276</v>
      </c>
      <c r="B6" s="70">
        <f>BvA!B11</f>
        <v>451</v>
      </c>
      <c r="C6" s="70">
        <f>BvA!B18</f>
        <v>2235</v>
      </c>
      <c r="D6" s="71">
        <f>B6+C6</f>
        <v>2686</v>
      </c>
    </row>
    <row r="7" spans="1:5" ht="15" customHeight="1" x14ac:dyDescent="0.55000000000000004">
      <c r="A7" s="68" t="s">
        <v>277</v>
      </c>
      <c r="B7" s="71">
        <f>-BvA!B34*B5</f>
        <v>-1643.5819209039548</v>
      </c>
      <c r="C7" s="71">
        <f>-BvA!B34*C5</f>
        <v>-2698.4180790960454</v>
      </c>
      <c r="D7" s="71">
        <f>B7+C7</f>
        <v>-4342</v>
      </c>
    </row>
    <row r="8" spans="1:5" ht="15" customHeight="1" x14ac:dyDescent="0.55000000000000004">
      <c r="A8" s="72" t="s">
        <v>278</v>
      </c>
      <c r="B8" s="73">
        <f>B6+B7</f>
        <v>-1192.5819209039548</v>
      </c>
      <c r="C8" s="73">
        <f>C6+C7</f>
        <v>-463.4180790960454</v>
      </c>
      <c r="D8" s="73">
        <f>D6+D7</f>
        <v>-1656</v>
      </c>
    </row>
    <row r="10" spans="1:5" ht="68.25" customHeight="1" x14ac:dyDescent="0.55000000000000004">
      <c r="A10" s="74" t="s">
        <v>279</v>
      </c>
      <c r="B10" s="74"/>
      <c r="C10" s="74"/>
      <c r="D10" s="74"/>
      <c r="E10" s="74"/>
    </row>
    <row r="11" spans="1:5" x14ac:dyDescent="0.55000000000000004">
      <c r="A11" s="74"/>
      <c r="B11" s="74"/>
      <c r="C11" s="74"/>
      <c r="D11" s="74"/>
      <c r="E11" s="74"/>
    </row>
  </sheetData>
  <mergeCells count="1"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DEADA"/>
  </sheetPr>
  <dimension ref="A1:E8"/>
  <sheetViews>
    <sheetView zoomScaleNormal="100" workbookViewId="0"/>
  </sheetViews>
  <sheetFormatPr defaultColWidth="8.68359375" defaultRowHeight="14.4" x14ac:dyDescent="0.55000000000000004"/>
  <cols>
    <col min="1" max="1" width="4" style="8" customWidth="1"/>
    <col min="2" max="2" width="40" style="8" customWidth="1"/>
    <col min="3" max="3" width="26" style="8" customWidth="1"/>
    <col min="4" max="4" width="44" style="8" customWidth="1"/>
    <col min="5" max="5" width="52" style="8" customWidth="1"/>
    <col min="6" max="16384" width="8.68359375" style="8"/>
  </cols>
  <sheetData>
    <row r="1" spans="1:5" ht="17.25" customHeight="1" x14ac:dyDescent="0.55000000000000004">
      <c r="A1" s="9" t="s">
        <v>280</v>
      </c>
    </row>
    <row r="3" spans="1:5" ht="15" customHeight="1" x14ac:dyDescent="0.55000000000000004">
      <c r="A3" s="75" t="s">
        <v>281</v>
      </c>
      <c r="B3" s="75" t="s">
        <v>282</v>
      </c>
      <c r="C3" s="75" t="s">
        <v>283</v>
      </c>
      <c r="D3" s="75" t="s">
        <v>284</v>
      </c>
      <c r="E3" s="75" t="s">
        <v>285</v>
      </c>
    </row>
    <row r="4" spans="1:5" ht="63.75" customHeight="1" x14ac:dyDescent="0.55000000000000004">
      <c r="A4" s="76" t="s">
        <v>286</v>
      </c>
      <c r="B4" s="76" t="s">
        <v>287</v>
      </c>
      <c r="C4" s="76" t="s">
        <v>288</v>
      </c>
      <c r="D4" s="76" t="s">
        <v>289</v>
      </c>
      <c r="E4" s="76" t="s">
        <v>290</v>
      </c>
    </row>
    <row r="5" spans="1:5" ht="63.75" customHeight="1" x14ac:dyDescent="0.55000000000000004">
      <c r="A5" s="76" t="s">
        <v>291</v>
      </c>
      <c r="B5" s="76" t="s">
        <v>292</v>
      </c>
      <c r="C5" s="76" t="s">
        <v>293</v>
      </c>
      <c r="D5" s="76" t="s">
        <v>294</v>
      </c>
      <c r="E5" s="76" t="s">
        <v>295</v>
      </c>
    </row>
    <row r="6" spans="1:5" ht="63.75" customHeight="1" x14ac:dyDescent="0.55000000000000004">
      <c r="A6" s="76" t="s">
        <v>296</v>
      </c>
      <c r="B6" s="76" t="s">
        <v>297</v>
      </c>
      <c r="C6" s="76" t="s">
        <v>298</v>
      </c>
      <c r="D6" s="76" t="s">
        <v>299</v>
      </c>
      <c r="E6" s="76" t="s">
        <v>300</v>
      </c>
    </row>
    <row r="7" spans="1:5" ht="63.75" customHeight="1" x14ac:dyDescent="0.55000000000000004">
      <c r="A7" s="76" t="s">
        <v>301</v>
      </c>
      <c r="B7" s="76" t="s">
        <v>302</v>
      </c>
      <c r="C7" s="76" t="s">
        <v>303</v>
      </c>
      <c r="D7" s="76" t="s">
        <v>304</v>
      </c>
      <c r="E7" s="76" t="s">
        <v>305</v>
      </c>
    </row>
    <row r="8" spans="1:5" ht="63.75" customHeight="1" x14ac:dyDescent="0.55000000000000004">
      <c r="A8" s="76" t="s">
        <v>306</v>
      </c>
      <c r="B8" s="76" t="s">
        <v>307</v>
      </c>
      <c r="C8" s="76" t="s">
        <v>308</v>
      </c>
      <c r="D8" s="76" t="s">
        <v>309</v>
      </c>
      <c r="E8" s="76" t="s">
        <v>310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H23"/>
  <sheetViews>
    <sheetView zoomScaleNormal="100" workbookViewId="0"/>
  </sheetViews>
  <sheetFormatPr defaultColWidth="8.68359375" defaultRowHeight="14.4" x14ac:dyDescent="0.55000000000000004"/>
  <cols>
    <col min="1" max="1" width="16" style="13" customWidth="1"/>
    <col min="2" max="2" width="12" style="13" customWidth="1"/>
    <col min="3" max="3" width="38" style="13" customWidth="1"/>
    <col min="4" max="15" width="10" style="13" customWidth="1"/>
    <col min="16" max="16384" width="8.68359375" style="13"/>
  </cols>
  <sheetData>
    <row r="1" spans="1:8" ht="17.25" customHeight="1" x14ac:dyDescent="0.55000000000000004">
      <c r="A1" s="14" t="s">
        <v>311</v>
      </c>
    </row>
    <row r="2" spans="1:8" ht="15" customHeight="1" x14ac:dyDescent="0.55000000000000004">
      <c r="A2" s="15" t="s">
        <v>312</v>
      </c>
    </row>
    <row r="4" spans="1:8" ht="15" customHeight="1" x14ac:dyDescent="0.55000000000000004">
      <c r="A4" s="77" t="s">
        <v>313</v>
      </c>
      <c r="B4" s="77" t="s">
        <v>314</v>
      </c>
      <c r="C4" s="77" t="s">
        <v>315</v>
      </c>
      <c r="D4" s="77" t="s">
        <v>316</v>
      </c>
      <c r="E4" s="77" t="s">
        <v>317</v>
      </c>
      <c r="F4" s="77" t="s">
        <v>318</v>
      </c>
      <c r="G4" s="77" t="s">
        <v>319</v>
      </c>
      <c r="H4" s="77" t="s">
        <v>320</v>
      </c>
    </row>
    <row r="5" spans="1:8" ht="15" customHeight="1" x14ac:dyDescent="0.55000000000000004">
      <c r="A5" s="42" t="s">
        <v>272</v>
      </c>
      <c r="B5" s="42" t="s">
        <v>321</v>
      </c>
      <c r="C5" s="42" t="s">
        <v>139</v>
      </c>
      <c r="D5" s="64">
        <v>620</v>
      </c>
      <c r="E5" s="64">
        <v>580</v>
      </c>
      <c r="F5" s="64">
        <v>710</v>
      </c>
      <c r="G5" s="64">
        <v>540</v>
      </c>
      <c r="H5" s="64">
        <v>495</v>
      </c>
    </row>
    <row r="6" spans="1:8" ht="15" customHeight="1" x14ac:dyDescent="0.55000000000000004">
      <c r="A6" s="42" t="s">
        <v>272</v>
      </c>
      <c r="B6" s="42" t="s">
        <v>321</v>
      </c>
      <c r="C6" s="42" t="s">
        <v>140</v>
      </c>
      <c r="D6" s="64">
        <v>210</v>
      </c>
      <c r="E6" s="64">
        <v>218</v>
      </c>
      <c r="F6" s="64">
        <v>225</v>
      </c>
      <c r="G6" s="64">
        <v>233</v>
      </c>
      <c r="H6" s="64">
        <v>240</v>
      </c>
    </row>
    <row r="7" spans="1:8" ht="15" customHeight="1" x14ac:dyDescent="0.55000000000000004">
      <c r="A7" s="42" t="s">
        <v>272</v>
      </c>
      <c r="B7" s="42" t="s">
        <v>321</v>
      </c>
      <c r="C7" s="42" t="s">
        <v>141</v>
      </c>
      <c r="D7" s="64">
        <v>95</v>
      </c>
      <c r="E7" s="64">
        <v>88</v>
      </c>
      <c r="F7" s="64">
        <v>110</v>
      </c>
      <c r="G7" s="64">
        <v>80</v>
      </c>
      <c r="H7" s="64">
        <v>76</v>
      </c>
    </row>
    <row r="8" spans="1:8" ht="15" customHeight="1" x14ac:dyDescent="0.55000000000000004">
      <c r="A8" s="42" t="s">
        <v>273</v>
      </c>
      <c r="B8" s="42" t="s">
        <v>321</v>
      </c>
      <c r="C8" s="42" t="s">
        <v>143</v>
      </c>
      <c r="D8" s="64">
        <v>380</v>
      </c>
      <c r="E8" s="64">
        <v>350</v>
      </c>
      <c r="F8" s="64">
        <v>445</v>
      </c>
      <c r="G8" s="64">
        <v>405</v>
      </c>
      <c r="H8" s="64">
        <v>510</v>
      </c>
    </row>
    <row r="9" spans="1:8" ht="15" customHeight="1" x14ac:dyDescent="0.55000000000000004">
      <c r="A9" s="42" t="s">
        <v>273</v>
      </c>
      <c r="B9" s="42" t="s">
        <v>321</v>
      </c>
      <c r="C9" s="42" t="s">
        <v>144</v>
      </c>
      <c r="D9" s="64">
        <v>1250</v>
      </c>
      <c r="E9" s="64">
        <v>1280</v>
      </c>
      <c r="F9" s="64">
        <v>1310</v>
      </c>
      <c r="G9" s="64">
        <v>1345</v>
      </c>
      <c r="H9" s="64">
        <v>1380</v>
      </c>
    </row>
    <row r="10" spans="1:8" ht="15" customHeight="1" x14ac:dyDescent="0.55000000000000004">
      <c r="A10" s="42" t="s">
        <v>273</v>
      </c>
      <c r="B10" s="42" t="s">
        <v>321</v>
      </c>
      <c r="C10" s="42" t="s">
        <v>145</v>
      </c>
      <c r="D10" s="64">
        <v>640</v>
      </c>
      <c r="E10" s="64">
        <v>655</v>
      </c>
      <c r="F10" s="64">
        <v>620</v>
      </c>
      <c r="G10" s="64">
        <v>680</v>
      </c>
      <c r="H10" s="64">
        <v>705</v>
      </c>
    </row>
    <row r="11" spans="1:8" ht="15" customHeight="1" x14ac:dyDescent="0.55000000000000004">
      <c r="A11" s="42" t="s">
        <v>322</v>
      </c>
      <c r="B11" s="42" t="s">
        <v>323</v>
      </c>
      <c r="C11" s="42" t="s">
        <v>163</v>
      </c>
      <c r="D11" s="64">
        <v>850</v>
      </c>
      <c r="E11" s="64">
        <v>-420</v>
      </c>
      <c r="F11" s="64">
        <v>1100</v>
      </c>
      <c r="G11" s="64">
        <v>-680</v>
      </c>
      <c r="H11" s="64">
        <v>1450</v>
      </c>
    </row>
    <row r="12" spans="1:8" ht="15" customHeight="1" x14ac:dyDescent="0.55000000000000004">
      <c r="A12" s="42" t="s">
        <v>272</v>
      </c>
      <c r="B12" s="42" t="s">
        <v>324</v>
      </c>
      <c r="C12" s="42" t="s">
        <v>325</v>
      </c>
      <c r="D12" s="64">
        <v>430</v>
      </c>
      <c r="E12" s="64">
        <v>405</v>
      </c>
      <c r="F12" s="64">
        <v>495</v>
      </c>
      <c r="G12" s="64">
        <v>380</v>
      </c>
      <c r="H12" s="64">
        <v>360</v>
      </c>
    </row>
    <row r="13" spans="1:8" ht="15" customHeight="1" x14ac:dyDescent="0.55000000000000004">
      <c r="A13" s="42" t="s">
        <v>273</v>
      </c>
      <c r="B13" s="42" t="s">
        <v>324</v>
      </c>
      <c r="C13" s="42" t="s">
        <v>326</v>
      </c>
      <c r="D13" s="64">
        <v>320</v>
      </c>
      <c r="E13" s="64">
        <v>330</v>
      </c>
      <c r="F13" s="64">
        <v>315</v>
      </c>
      <c r="G13" s="64">
        <v>345</v>
      </c>
      <c r="H13" s="64">
        <v>360</v>
      </c>
    </row>
    <row r="14" spans="1:8" ht="15" customHeight="1" x14ac:dyDescent="0.55000000000000004">
      <c r="A14" s="42" t="s">
        <v>322</v>
      </c>
      <c r="B14" s="42" t="s">
        <v>327</v>
      </c>
      <c r="C14" s="42" t="s">
        <v>151</v>
      </c>
      <c r="D14" s="64">
        <v>1850</v>
      </c>
      <c r="E14" s="64">
        <v>1880</v>
      </c>
      <c r="F14" s="64">
        <v>1910</v>
      </c>
      <c r="G14" s="64">
        <v>1940</v>
      </c>
      <c r="H14" s="64">
        <v>1975</v>
      </c>
    </row>
    <row r="15" spans="1:8" ht="15" customHeight="1" x14ac:dyDescent="0.55000000000000004">
      <c r="A15" s="42" t="s">
        <v>322</v>
      </c>
      <c r="B15" s="42" t="s">
        <v>327</v>
      </c>
      <c r="C15" s="42" t="s">
        <v>152</v>
      </c>
      <c r="D15" s="64">
        <v>540</v>
      </c>
      <c r="E15" s="64">
        <v>555</v>
      </c>
      <c r="F15" s="64">
        <v>560</v>
      </c>
      <c r="G15" s="64">
        <v>575</v>
      </c>
      <c r="H15" s="64">
        <v>590</v>
      </c>
    </row>
    <row r="16" spans="1:8" ht="15" customHeight="1" x14ac:dyDescent="0.55000000000000004">
      <c r="A16" s="42" t="s">
        <v>322</v>
      </c>
      <c r="B16" s="42" t="s">
        <v>327</v>
      </c>
      <c r="C16" s="42" t="s">
        <v>153</v>
      </c>
      <c r="D16" s="64">
        <v>420</v>
      </c>
      <c r="E16" s="64">
        <v>425</v>
      </c>
      <c r="F16" s="64">
        <v>430</v>
      </c>
      <c r="G16" s="64">
        <v>440</v>
      </c>
      <c r="H16" s="64">
        <v>450</v>
      </c>
    </row>
    <row r="17" spans="1:8" ht="15" customHeight="1" x14ac:dyDescent="0.55000000000000004">
      <c r="A17" s="42" t="s">
        <v>322</v>
      </c>
      <c r="B17" s="42" t="s">
        <v>327</v>
      </c>
      <c r="C17" s="42" t="s">
        <v>154</v>
      </c>
      <c r="D17" s="64">
        <v>285</v>
      </c>
      <c r="E17" s="64">
        <v>295</v>
      </c>
      <c r="F17" s="64">
        <v>340</v>
      </c>
      <c r="G17" s="64">
        <v>410</v>
      </c>
      <c r="H17" s="64">
        <v>480</v>
      </c>
    </row>
    <row r="18" spans="1:8" ht="15" customHeight="1" x14ac:dyDescent="0.55000000000000004">
      <c r="A18" s="42" t="s">
        <v>322</v>
      </c>
      <c r="B18" s="42" t="s">
        <v>327</v>
      </c>
      <c r="C18" s="42" t="s">
        <v>155</v>
      </c>
      <c r="D18" s="64">
        <v>180</v>
      </c>
      <c r="E18" s="64">
        <v>165</v>
      </c>
      <c r="F18" s="64">
        <v>220</v>
      </c>
      <c r="G18" s="64">
        <v>195</v>
      </c>
      <c r="H18" s="64">
        <v>240</v>
      </c>
    </row>
    <row r="19" spans="1:8" ht="15" customHeight="1" x14ac:dyDescent="0.55000000000000004">
      <c r="A19" s="42" t="s">
        <v>322</v>
      </c>
      <c r="B19" s="42" t="s">
        <v>327</v>
      </c>
      <c r="C19" s="42" t="s">
        <v>156</v>
      </c>
      <c r="D19" s="64">
        <v>65</v>
      </c>
      <c r="E19" s="64">
        <v>48</v>
      </c>
      <c r="F19" s="64">
        <v>120</v>
      </c>
      <c r="G19" s="64">
        <v>95</v>
      </c>
      <c r="H19" s="64">
        <v>175</v>
      </c>
    </row>
    <row r="20" spans="1:8" ht="15" customHeight="1" x14ac:dyDescent="0.55000000000000004">
      <c r="A20" s="42" t="s">
        <v>322</v>
      </c>
      <c r="B20" s="42" t="s">
        <v>327</v>
      </c>
      <c r="C20" s="42" t="s">
        <v>157</v>
      </c>
      <c r="D20" s="64">
        <v>95</v>
      </c>
      <c r="E20" s="64">
        <v>110</v>
      </c>
      <c r="F20" s="64">
        <v>140</v>
      </c>
      <c r="G20" s="64">
        <v>180</v>
      </c>
      <c r="H20" s="64">
        <v>165</v>
      </c>
    </row>
    <row r="21" spans="1:8" ht="15" customHeight="1" x14ac:dyDescent="0.55000000000000004">
      <c r="A21" s="42" t="s">
        <v>322</v>
      </c>
      <c r="B21" s="42" t="s">
        <v>327</v>
      </c>
      <c r="C21" s="42" t="s">
        <v>158</v>
      </c>
      <c r="D21" s="64">
        <v>78</v>
      </c>
      <c r="E21" s="64">
        <v>82</v>
      </c>
      <c r="F21" s="64">
        <v>85</v>
      </c>
      <c r="G21" s="64">
        <v>88</v>
      </c>
      <c r="H21" s="64">
        <v>92</v>
      </c>
    </row>
    <row r="22" spans="1:8" ht="15" customHeight="1" x14ac:dyDescent="0.55000000000000004">
      <c r="A22" s="42" t="s">
        <v>322</v>
      </c>
      <c r="B22" s="42" t="s">
        <v>327</v>
      </c>
      <c r="C22" s="42" t="s">
        <v>159</v>
      </c>
      <c r="D22" s="64">
        <v>110</v>
      </c>
      <c r="E22" s="64">
        <v>110</v>
      </c>
      <c r="F22" s="64">
        <v>112</v>
      </c>
      <c r="G22" s="64">
        <v>112</v>
      </c>
      <c r="H22" s="64">
        <v>115</v>
      </c>
    </row>
    <row r="23" spans="1:8" ht="15" customHeight="1" x14ac:dyDescent="0.55000000000000004">
      <c r="A23" s="42" t="s">
        <v>322</v>
      </c>
      <c r="B23" s="42" t="s">
        <v>327</v>
      </c>
      <c r="C23" s="42" t="s">
        <v>160</v>
      </c>
      <c r="D23" s="64">
        <v>45</v>
      </c>
      <c r="E23" s="64">
        <v>38</v>
      </c>
      <c r="F23" s="64">
        <v>52</v>
      </c>
      <c r="G23" s="64">
        <v>41</v>
      </c>
      <c r="H23" s="64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8080"/>
  </sheetPr>
  <dimension ref="A1:O23"/>
  <sheetViews>
    <sheetView zoomScaleNormal="100" workbookViewId="0"/>
  </sheetViews>
  <sheetFormatPr defaultColWidth="8.68359375" defaultRowHeight="14.4" x14ac:dyDescent="0.55000000000000004"/>
  <cols>
    <col min="1" max="1" width="16" style="13" customWidth="1"/>
    <col min="2" max="2" width="12" style="13" customWidth="1"/>
    <col min="3" max="3" width="38" style="13" customWidth="1"/>
    <col min="4" max="15" width="10" style="13" customWidth="1"/>
    <col min="16" max="16384" width="8.68359375" style="13"/>
  </cols>
  <sheetData>
    <row r="1" spans="1:15" ht="17.25" customHeight="1" x14ac:dyDescent="0.55000000000000004">
      <c r="A1" s="14" t="s">
        <v>328</v>
      </c>
    </row>
    <row r="2" spans="1:15" ht="15" customHeight="1" x14ac:dyDescent="0.55000000000000004">
      <c r="A2" s="15" t="s">
        <v>329</v>
      </c>
    </row>
    <row r="4" spans="1:15" ht="15" customHeight="1" x14ac:dyDescent="0.55000000000000004">
      <c r="A4" s="77" t="s">
        <v>313</v>
      </c>
      <c r="B4" s="77" t="s">
        <v>314</v>
      </c>
      <c r="C4" s="77" t="s">
        <v>315</v>
      </c>
      <c r="D4" s="77" t="s">
        <v>316</v>
      </c>
      <c r="E4" s="77" t="s">
        <v>317</v>
      </c>
      <c r="F4" s="77" t="s">
        <v>318</v>
      </c>
      <c r="G4" s="77" t="s">
        <v>319</v>
      </c>
      <c r="H4" s="77" t="s">
        <v>320</v>
      </c>
      <c r="I4" s="77" t="s">
        <v>330</v>
      </c>
      <c r="J4" s="77" t="s">
        <v>331</v>
      </c>
      <c r="K4" s="77" t="s">
        <v>332</v>
      </c>
      <c r="L4" s="77" t="s">
        <v>333</v>
      </c>
      <c r="M4" s="77" t="s">
        <v>334</v>
      </c>
      <c r="N4" s="77" t="s">
        <v>335</v>
      </c>
      <c r="O4" s="77" t="s">
        <v>336</v>
      </c>
    </row>
    <row r="5" spans="1:15" ht="15" customHeight="1" x14ac:dyDescent="0.55000000000000004">
      <c r="A5" s="42" t="s">
        <v>272</v>
      </c>
      <c r="B5" s="42" t="s">
        <v>321</v>
      </c>
      <c r="C5" s="42" t="s">
        <v>139</v>
      </c>
      <c r="D5" s="64">
        <v>600</v>
      </c>
      <c r="E5" s="64">
        <v>600</v>
      </c>
      <c r="F5" s="64">
        <v>620</v>
      </c>
      <c r="G5" s="64">
        <v>640</v>
      </c>
      <c r="H5" s="64">
        <v>660</v>
      </c>
      <c r="I5" s="64">
        <v>680</v>
      </c>
      <c r="J5" s="64">
        <v>700</v>
      </c>
      <c r="K5" s="64">
        <v>720</v>
      </c>
      <c r="L5" s="64">
        <v>720</v>
      </c>
      <c r="M5" s="64">
        <v>740</v>
      </c>
      <c r="N5" s="64">
        <v>760</v>
      </c>
      <c r="O5" s="64">
        <v>800</v>
      </c>
    </row>
    <row r="6" spans="1:15" ht="15" customHeight="1" x14ac:dyDescent="0.55000000000000004">
      <c r="A6" s="42" t="s">
        <v>272</v>
      </c>
      <c r="B6" s="42" t="s">
        <v>321</v>
      </c>
      <c r="C6" s="42" t="s">
        <v>140</v>
      </c>
      <c r="D6" s="64">
        <v>205</v>
      </c>
      <c r="E6" s="64">
        <v>212</v>
      </c>
      <c r="F6" s="64">
        <v>219</v>
      </c>
      <c r="G6" s="64">
        <v>226</v>
      </c>
      <c r="H6" s="64">
        <v>233</v>
      </c>
      <c r="I6" s="64">
        <v>240</v>
      </c>
      <c r="J6" s="64">
        <v>248</v>
      </c>
      <c r="K6" s="64">
        <v>256</v>
      </c>
      <c r="L6" s="64">
        <v>264</v>
      </c>
      <c r="M6" s="64">
        <v>272</v>
      </c>
      <c r="N6" s="64">
        <v>280</v>
      </c>
      <c r="O6" s="64">
        <v>288</v>
      </c>
    </row>
    <row r="7" spans="1:15" ht="15" customHeight="1" x14ac:dyDescent="0.55000000000000004">
      <c r="A7" s="42" t="s">
        <v>272</v>
      </c>
      <c r="B7" s="42" t="s">
        <v>321</v>
      </c>
      <c r="C7" s="42" t="s">
        <v>141</v>
      </c>
      <c r="D7" s="64">
        <v>90</v>
      </c>
      <c r="E7" s="64">
        <v>90</v>
      </c>
      <c r="F7" s="64">
        <v>95</v>
      </c>
      <c r="G7" s="64">
        <v>95</v>
      </c>
      <c r="H7" s="64">
        <v>100</v>
      </c>
      <c r="I7" s="64">
        <v>100</v>
      </c>
      <c r="J7" s="64">
        <v>105</v>
      </c>
      <c r="K7" s="64">
        <v>105</v>
      </c>
      <c r="L7" s="64">
        <v>110</v>
      </c>
      <c r="M7" s="64">
        <v>110</v>
      </c>
      <c r="N7" s="64">
        <v>115</v>
      </c>
      <c r="O7" s="64">
        <v>120</v>
      </c>
    </row>
    <row r="8" spans="1:15" ht="15" customHeight="1" x14ac:dyDescent="0.55000000000000004">
      <c r="A8" s="42" t="s">
        <v>273</v>
      </c>
      <c r="B8" s="42" t="s">
        <v>321</v>
      </c>
      <c r="C8" s="42" t="s">
        <v>143</v>
      </c>
      <c r="D8" s="64">
        <v>370</v>
      </c>
      <c r="E8" s="64">
        <v>385</v>
      </c>
      <c r="F8" s="64">
        <v>400</v>
      </c>
      <c r="G8" s="64">
        <v>415</v>
      </c>
      <c r="H8" s="64">
        <v>430</v>
      </c>
      <c r="I8" s="64">
        <v>445</v>
      </c>
      <c r="J8" s="64">
        <v>460</v>
      </c>
      <c r="K8" s="64">
        <v>475</v>
      </c>
      <c r="L8" s="64">
        <v>490</v>
      </c>
      <c r="M8" s="64">
        <v>505</v>
      </c>
      <c r="N8" s="64">
        <v>520</v>
      </c>
      <c r="O8" s="64">
        <v>535</v>
      </c>
    </row>
    <row r="9" spans="1:15" ht="15" customHeight="1" x14ac:dyDescent="0.55000000000000004">
      <c r="A9" s="42" t="s">
        <v>273</v>
      </c>
      <c r="B9" s="42" t="s">
        <v>321</v>
      </c>
      <c r="C9" s="42" t="s">
        <v>144</v>
      </c>
      <c r="D9" s="64">
        <v>1230</v>
      </c>
      <c r="E9" s="64">
        <v>1270</v>
      </c>
      <c r="F9" s="64">
        <v>1310</v>
      </c>
      <c r="G9" s="64">
        <v>1350</v>
      </c>
      <c r="H9" s="64">
        <v>1390</v>
      </c>
      <c r="I9" s="64">
        <v>1430</v>
      </c>
      <c r="J9" s="64">
        <v>1470</v>
      </c>
      <c r="K9" s="64">
        <v>1510</v>
      </c>
      <c r="L9" s="64">
        <v>1550</v>
      </c>
      <c r="M9" s="64">
        <v>1590</v>
      </c>
      <c r="N9" s="64">
        <v>1630</v>
      </c>
      <c r="O9" s="64">
        <v>1670</v>
      </c>
    </row>
    <row r="10" spans="1:15" ht="15" customHeight="1" x14ac:dyDescent="0.55000000000000004">
      <c r="A10" s="42" t="s">
        <v>273</v>
      </c>
      <c r="B10" s="42" t="s">
        <v>321</v>
      </c>
      <c r="C10" s="42" t="s">
        <v>145</v>
      </c>
      <c r="D10" s="64">
        <v>620</v>
      </c>
      <c r="E10" s="64">
        <v>630</v>
      </c>
      <c r="F10" s="64">
        <v>640</v>
      </c>
      <c r="G10" s="64">
        <v>650</v>
      </c>
      <c r="H10" s="64">
        <v>660</v>
      </c>
      <c r="I10" s="64">
        <v>670</v>
      </c>
      <c r="J10" s="64">
        <v>680</v>
      </c>
      <c r="K10" s="64">
        <v>690</v>
      </c>
      <c r="L10" s="64">
        <v>700</v>
      </c>
      <c r="M10" s="64">
        <v>710</v>
      </c>
      <c r="N10" s="64">
        <v>720</v>
      </c>
      <c r="O10" s="64">
        <v>730</v>
      </c>
    </row>
    <row r="11" spans="1:15" ht="15" customHeight="1" x14ac:dyDescent="0.55000000000000004">
      <c r="A11" s="42" t="s">
        <v>322</v>
      </c>
      <c r="B11" s="42" t="s">
        <v>323</v>
      </c>
      <c r="C11" s="42" t="s">
        <v>163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</row>
    <row r="12" spans="1:15" ht="15" customHeight="1" x14ac:dyDescent="0.55000000000000004">
      <c r="A12" s="42" t="s">
        <v>272</v>
      </c>
      <c r="B12" s="42" t="s">
        <v>324</v>
      </c>
      <c r="C12" s="42" t="s">
        <v>325</v>
      </c>
      <c r="D12" s="64">
        <v>410</v>
      </c>
      <c r="E12" s="64">
        <v>410</v>
      </c>
      <c r="F12" s="64">
        <v>425</v>
      </c>
      <c r="G12" s="64">
        <v>440</v>
      </c>
      <c r="H12" s="64">
        <v>455</v>
      </c>
      <c r="I12" s="64">
        <v>470</v>
      </c>
      <c r="J12" s="64">
        <v>485</v>
      </c>
      <c r="K12" s="64">
        <v>500</v>
      </c>
      <c r="L12" s="64">
        <v>505</v>
      </c>
      <c r="M12" s="64">
        <v>520</v>
      </c>
      <c r="N12" s="64">
        <v>535</v>
      </c>
      <c r="O12" s="64">
        <v>560</v>
      </c>
    </row>
    <row r="13" spans="1:15" ht="15" customHeight="1" x14ac:dyDescent="0.55000000000000004">
      <c r="A13" s="42" t="s">
        <v>273</v>
      </c>
      <c r="B13" s="42" t="s">
        <v>324</v>
      </c>
      <c r="C13" s="42" t="s">
        <v>326</v>
      </c>
      <c r="D13" s="64">
        <v>320</v>
      </c>
      <c r="E13" s="64">
        <v>325</v>
      </c>
      <c r="F13" s="64">
        <v>330</v>
      </c>
      <c r="G13" s="64">
        <v>335</v>
      </c>
      <c r="H13" s="64">
        <v>340</v>
      </c>
      <c r="I13" s="64">
        <v>345</v>
      </c>
      <c r="J13" s="64">
        <v>350</v>
      </c>
      <c r="K13" s="64">
        <v>355</v>
      </c>
      <c r="L13" s="64">
        <v>360</v>
      </c>
      <c r="M13" s="64">
        <v>365</v>
      </c>
      <c r="N13" s="64">
        <v>370</v>
      </c>
      <c r="O13" s="64">
        <v>375</v>
      </c>
    </row>
    <row r="14" spans="1:15" ht="15" customHeight="1" x14ac:dyDescent="0.55000000000000004">
      <c r="A14" s="42" t="s">
        <v>322</v>
      </c>
      <c r="B14" s="42" t="s">
        <v>327</v>
      </c>
      <c r="C14" s="42" t="s">
        <v>151</v>
      </c>
      <c r="D14" s="64">
        <v>1820</v>
      </c>
      <c r="E14" s="64">
        <v>1850</v>
      </c>
      <c r="F14" s="64">
        <v>1880</v>
      </c>
      <c r="G14" s="64">
        <v>1910</v>
      </c>
      <c r="H14" s="64">
        <v>1940</v>
      </c>
      <c r="I14" s="64">
        <v>1970</v>
      </c>
      <c r="J14" s="64">
        <v>2000</v>
      </c>
      <c r="K14" s="64">
        <v>2030</v>
      </c>
      <c r="L14" s="64">
        <v>2060</v>
      </c>
      <c r="M14" s="64">
        <v>2090</v>
      </c>
      <c r="N14" s="64">
        <v>2120</v>
      </c>
      <c r="O14" s="64">
        <v>2150</v>
      </c>
    </row>
    <row r="15" spans="1:15" ht="15" customHeight="1" x14ac:dyDescent="0.55000000000000004">
      <c r="A15" s="42" t="s">
        <v>322</v>
      </c>
      <c r="B15" s="42" t="s">
        <v>327</v>
      </c>
      <c r="C15" s="42" t="s">
        <v>152</v>
      </c>
      <c r="D15" s="64">
        <v>530</v>
      </c>
      <c r="E15" s="64">
        <v>540</v>
      </c>
      <c r="F15" s="64">
        <v>550</v>
      </c>
      <c r="G15" s="64">
        <v>560</v>
      </c>
      <c r="H15" s="64">
        <v>570</v>
      </c>
      <c r="I15" s="64">
        <v>580</v>
      </c>
      <c r="J15" s="64">
        <v>590</v>
      </c>
      <c r="K15" s="64">
        <v>600</v>
      </c>
      <c r="L15" s="64">
        <v>610</v>
      </c>
      <c r="M15" s="64">
        <v>620</v>
      </c>
      <c r="N15" s="64">
        <v>630</v>
      </c>
      <c r="O15" s="64">
        <v>640</v>
      </c>
    </row>
    <row r="16" spans="1:15" ht="15" customHeight="1" x14ac:dyDescent="0.55000000000000004">
      <c r="A16" s="42" t="s">
        <v>322</v>
      </c>
      <c r="B16" s="42" t="s">
        <v>327</v>
      </c>
      <c r="C16" s="42" t="s">
        <v>153</v>
      </c>
      <c r="D16" s="64">
        <v>415</v>
      </c>
      <c r="E16" s="64">
        <v>420</v>
      </c>
      <c r="F16" s="64">
        <v>425</v>
      </c>
      <c r="G16" s="64">
        <v>430</v>
      </c>
      <c r="H16" s="64">
        <v>435</v>
      </c>
      <c r="I16" s="64">
        <v>440</v>
      </c>
      <c r="J16" s="64">
        <v>445</v>
      </c>
      <c r="K16" s="64">
        <v>450</v>
      </c>
      <c r="L16" s="64">
        <v>455</v>
      </c>
      <c r="M16" s="64">
        <v>460</v>
      </c>
      <c r="N16" s="64">
        <v>465</v>
      </c>
      <c r="O16" s="64">
        <v>470</v>
      </c>
    </row>
    <row r="17" spans="1:15" ht="15" customHeight="1" x14ac:dyDescent="0.55000000000000004">
      <c r="A17" s="42" t="s">
        <v>322</v>
      </c>
      <c r="B17" s="42" t="s">
        <v>327</v>
      </c>
      <c r="C17" s="42" t="s">
        <v>154</v>
      </c>
      <c r="D17" s="64">
        <v>280</v>
      </c>
      <c r="E17" s="64">
        <v>285</v>
      </c>
      <c r="F17" s="64">
        <v>290</v>
      </c>
      <c r="G17" s="64">
        <v>295</v>
      </c>
      <c r="H17" s="64">
        <v>300</v>
      </c>
      <c r="I17" s="64">
        <v>305</v>
      </c>
      <c r="J17" s="64">
        <v>310</v>
      </c>
      <c r="K17" s="64">
        <v>315</v>
      </c>
      <c r="L17" s="64">
        <v>320</v>
      </c>
      <c r="M17" s="64">
        <v>325</v>
      </c>
      <c r="N17" s="64">
        <v>330</v>
      </c>
      <c r="O17" s="64">
        <v>335</v>
      </c>
    </row>
    <row r="18" spans="1:15" ht="15" customHeight="1" x14ac:dyDescent="0.55000000000000004">
      <c r="A18" s="42" t="s">
        <v>322</v>
      </c>
      <c r="B18" s="42" t="s">
        <v>327</v>
      </c>
      <c r="C18" s="42" t="s">
        <v>155</v>
      </c>
      <c r="D18" s="64">
        <v>175</v>
      </c>
      <c r="E18" s="64">
        <v>175</v>
      </c>
      <c r="F18" s="64">
        <v>200</v>
      </c>
      <c r="G18" s="64">
        <v>200</v>
      </c>
      <c r="H18" s="64">
        <v>200</v>
      </c>
      <c r="I18" s="64">
        <v>225</v>
      </c>
      <c r="J18" s="64">
        <v>225</v>
      </c>
      <c r="K18" s="64">
        <v>225</v>
      </c>
      <c r="L18" s="64">
        <v>250</v>
      </c>
      <c r="M18" s="64">
        <v>250</v>
      </c>
      <c r="N18" s="64">
        <v>250</v>
      </c>
      <c r="O18" s="64">
        <v>275</v>
      </c>
    </row>
    <row r="19" spans="1:15" ht="15" customHeight="1" x14ac:dyDescent="0.55000000000000004">
      <c r="A19" s="42" t="s">
        <v>322</v>
      </c>
      <c r="B19" s="42" t="s">
        <v>327</v>
      </c>
      <c r="C19" s="42" t="s">
        <v>156</v>
      </c>
      <c r="D19" s="64">
        <v>60</v>
      </c>
      <c r="E19" s="64">
        <v>60</v>
      </c>
      <c r="F19" s="64">
        <v>90</v>
      </c>
      <c r="G19" s="64">
        <v>80</v>
      </c>
      <c r="H19" s="64">
        <v>80</v>
      </c>
      <c r="I19" s="64">
        <v>150</v>
      </c>
      <c r="J19" s="64">
        <v>80</v>
      </c>
      <c r="K19" s="64">
        <v>80</v>
      </c>
      <c r="L19" s="64">
        <v>90</v>
      </c>
      <c r="M19" s="64">
        <v>80</v>
      </c>
      <c r="N19" s="64">
        <v>80</v>
      </c>
      <c r="O19" s="64">
        <v>100</v>
      </c>
    </row>
    <row r="20" spans="1:15" ht="15" customHeight="1" x14ac:dyDescent="0.55000000000000004">
      <c r="A20" s="42" t="s">
        <v>322</v>
      </c>
      <c r="B20" s="42" t="s">
        <v>327</v>
      </c>
      <c r="C20" s="42" t="s">
        <v>157</v>
      </c>
      <c r="D20" s="64">
        <v>100</v>
      </c>
      <c r="E20" s="64">
        <v>100</v>
      </c>
      <c r="F20" s="64">
        <v>120</v>
      </c>
      <c r="G20" s="64">
        <v>120</v>
      </c>
      <c r="H20" s="64">
        <v>120</v>
      </c>
      <c r="I20" s="64">
        <v>140</v>
      </c>
      <c r="J20" s="64">
        <v>120</v>
      </c>
      <c r="K20" s="64">
        <v>120</v>
      </c>
      <c r="L20" s="64">
        <v>140</v>
      </c>
      <c r="M20" s="64">
        <v>120</v>
      </c>
      <c r="N20" s="64">
        <v>120</v>
      </c>
      <c r="O20" s="64">
        <v>160</v>
      </c>
    </row>
    <row r="21" spans="1:15" ht="15" customHeight="1" x14ac:dyDescent="0.55000000000000004">
      <c r="A21" s="42" t="s">
        <v>322</v>
      </c>
      <c r="B21" s="42" t="s">
        <v>327</v>
      </c>
      <c r="C21" s="42" t="s">
        <v>158</v>
      </c>
      <c r="D21" s="64">
        <v>80</v>
      </c>
      <c r="E21" s="64">
        <v>80</v>
      </c>
      <c r="F21" s="64">
        <v>82</v>
      </c>
      <c r="G21" s="64">
        <v>82</v>
      </c>
      <c r="H21" s="64">
        <v>84</v>
      </c>
      <c r="I21" s="64">
        <v>84</v>
      </c>
      <c r="J21" s="64">
        <v>86</v>
      </c>
      <c r="K21" s="64">
        <v>86</v>
      </c>
      <c r="L21" s="64">
        <v>88</v>
      </c>
      <c r="M21" s="64">
        <v>88</v>
      </c>
      <c r="N21" s="64">
        <v>90</v>
      </c>
      <c r="O21" s="64">
        <v>90</v>
      </c>
    </row>
    <row r="22" spans="1:15" ht="15" customHeight="1" x14ac:dyDescent="0.55000000000000004">
      <c r="A22" s="42" t="s">
        <v>322</v>
      </c>
      <c r="B22" s="42" t="s">
        <v>327</v>
      </c>
      <c r="C22" s="42" t="s">
        <v>159</v>
      </c>
      <c r="D22" s="64">
        <v>110</v>
      </c>
      <c r="E22" s="64">
        <v>110</v>
      </c>
      <c r="F22" s="64">
        <v>110</v>
      </c>
      <c r="G22" s="64">
        <v>112</v>
      </c>
      <c r="H22" s="64">
        <v>112</v>
      </c>
      <c r="I22" s="64">
        <v>112</v>
      </c>
      <c r="J22" s="64">
        <v>115</v>
      </c>
      <c r="K22" s="64">
        <v>115</v>
      </c>
      <c r="L22" s="64">
        <v>115</v>
      </c>
      <c r="M22" s="64">
        <v>118</v>
      </c>
      <c r="N22" s="64">
        <v>118</v>
      </c>
      <c r="O22" s="64">
        <v>118</v>
      </c>
    </row>
    <row r="23" spans="1:15" ht="15" customHeight="1" x14ac:dyDescent="0.55000000000000004">
      <c r="A23" s="42" t="s">
        <v>322</v>
      </c>
      <c r="B23" s="42" t="s">
        <v>327</v>
      </c>
      <c r="C23" s="42" t="s">
        <v>160</v>
      </c>
      <c r="D23" s="64">
        <v>45</v>
      </c>
      <c r="E23" s="64">
        <v>45</v>
      </c>
      <c r="F23" s="64">
        <v>48</v>
      </c>
      <c r="G23" s="64">
        <v>48</v>
      </c>
      <c r="H23" s="64">
        <v>50</v>
      </c>
      <c r="I23" s="64">
        <v>50</v>
      </c>
      <c r="J23" s="64">
        <v>52</v>
      </c>
      <c r="K23" s="64">
        <v>52</v>
      </c>
      <c r="L23" s="64">
        <v>55</v>
      </c>
      <c r="M23" s="64">
        <v>55</v>
      </c>
      <c r="N23" s="64">
        <v>58</v>
      </c>
      <c r="O23" s="64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G19"/>
  <sheetViews>
    <sheetView zoomScaleNormal="100" workbookViewId="0"/>
  </sheetViews>
  <sheetFormatPr defaultColWidth="8.68359375" defaultRowHeight="14.4" x14ac:dyDescent="0.55000000000000004"/>
  <cols>
    <col min="1" max="1" width="35.5234375" style="13" customWidth="1"/>
    <col min="2" max="2" width="12" style="13" customWidth="1"/>
    <col min="3" max="3" width="38" style="13" customWidth="1"/>
    <col min="4" max="15" width="10" style="13" customWidth="1"/>
    <col min="16" max="16384" width="8.68359375" style="13"/>
  </cols>
  <sheetData>
    <row r="1" spans="1:7" ht="17.25" customHeight="1" x14ac:dyDescent="0.55000000000000004">
      <c r="A1" s="14" t="s">
        <v>337</v>
      </c>
    </row>
    <row r="2" spans="1:7" ht="15" customHeight="1" x14ac:dyDescent="0.55000000000000004">
      <c r="A2" s="15" t="s">
        <v>338</v>
      </c>
    </row>
    <row r="4" spans="1:7" ht="15" customHeight="1" x14ac:dyDescent="0.55000000000000004">
      <c r="A4" s="77" t="s">
        <v>339</v>
      </c>
      <c r="B4" s="77" t="s">
        <v>340</v>
      </c>
      <c r="C4" s="77" t="s">
        <v>316</v>
      </c>
      <c r="D4" s="77" t="s">
        <v>317</v>
      </c>
      <c r="E4" s="77" t="s">
        <v>318</v>
      </c>
      <c r="F4" s="77" t="s">
        <v>319</v>
      </c>
      <c r="G4" s="77" t="s">
        <v>320</v>
      </c>
    </row>
    <row r="5" spans="1:7" ht="15" customHeight="1" x14ac:dyDescent="0.55000000000000004">
      <c r="A5" s="42" t="s">
        <v>341</v>
      </c>
      <c r="B5" s="42" t="s">
        <v>342</v>
      </c>
      <c r="C5" s="64">
        <v>94000</v>
      </c>
      <c r="D5" s="64">
        <v>88000</v>
      </c>
      <c r="E5" s="64">
        <v>101000</v>
      </c>
      <c r="F5" s="64">
        <v>92000</v>
      </c>
      <c r="G5" s="64">
        <v>108000</v>
      </c>
    </row>
    <row r="6" spans="1:7" ht="15" customHeight="1" x14ac:dyDescent="0.55000000000000004">
      <c r="A6" s="42" t="s">
        <v>343</v>
      </c>
      <c r="B6" s="42" t="s">
        <v>281</v>
      </c>
      <c r="C6" s="64">
        <v>7750</v>
      </c>
      <c r="D6" s="64">
        <v>7250</v>
      </c>
      <c r="E6" s="64">
        <v>8875</v>
      </c>
      <c r="F6" s="64">
        <v>6750</v>
      </c>
      <c r="G6" s="64">
        <v>6190</v>
      </c>
    </row>
    <row r="7" spans="1:7" ht="15" customHeight="1" x14ac:dyDescent="0.55000000000000004">
      <c r="A7" s="42" t="s">
        <v>344</v>
      </c>
      <c r="B7" s="42" t="s">
        <v>342</v>
      </c>
      <c r="C7" s="64">
        <v>80</v>
      </c>
      <c r="D7" s="64">
        <v>80</v>
      </c>
      <c r="E7" s="64">
        <v>80</v>
      </c>
      <c r="F7" s="64">
        <v>80</v>
      </c>
      <c r="G7" s="64">
        <v>80</v>
      </c>
    </row>
    <row r="8" spans="1:7" ht="15" customHeight="1" x14ac:dyDescent="0.55000000000000004">
      <c r="A8" s="42" t="s">
        <v>345</v>
      </c>
      <c r="B8" s="42" t="s">
        <v>346</v>
      </c>
      <c r="C8" s="64">
        <v>1180</v>
      </c>
      <c r="D8" s="64">
        <v>1205</v>
      </c>
      <c r="E8" s="64">
        <v>1235</v>
      </c>
      <c r="F8" s="64">
        <v>1262</v>
      </c>
      <c r="G8" s="64">
        <v>1288</v>
      </c>
    </row>
    <row r="9" spans="1:7" ht="15" customHeight="1" x14ac:dyDescent="0.55000000000000004">
      <c r="A9" s="42" t="s">
        <v>347</v>
      </c>
      <c r="B9" s="42" t="s">
        <v>348</v>
      </c>
      <c r="C9" s="64">
        <v>4200</v>
      </c>
      <c r="D9" s="64">
        <v>4350</v>
      </c>
      <c r="E9" s="64">
        <v>4480</v>
      </c>
      <c r="F9" s="64">
        <v>4620</v>
      </c>
      <c r="G9" s="64">
        <v>4810</v>
      </c>
    </row>
    <row r="10" spans="1:7" ht="15" customHeight="1" x14ac:dyDescent="0.55000000000000004">
      <c r="A10" s="42" t="s">
        <v>349</v>
      </c>
      <c r="B10" s="42" t="s">
        <v>281</v>
      </c>
      <c r="C10" s="64">
        <v>142</v>
      </c>
      <c r="D10" s="64">
        <v>148</v>
      </c>
      <c r="E10" s="64">
        <v>153</v>
      </c>
      <c r="F10" s="64">
        <v>161</v>
      </c>
      <c r="G10" s="64">
        <v>168</v>
      </c>
    </row>
    <row r="11" spans="1:7" ht="15" customHeight="1" x14ac:dyDescent="0.55000000000000004">
      <c r="A11" s="42" t="s">
        <v>350</v>
      </c>
      <c r="B11" s="42" t="s">
        <v>351</v>
      </c>
      <c r="C11" s="64">
        <v>880</v>
      </c>
      <c r="D11" s="64">
        <v>910</v>
      </c>
      <c r="E11" s="64">
        <v>945</v>
      </c>
      <c r="F11" s="64">
        <v>1010</v>
      </c>
      <c r="G11" s="64">
        <v>1080</v>
      </c>
    </row>
    <row r="12" spans="1:7" ht="15" customHeight="1" x14ac:dyDescent="0.55000000000000004">
      <c r="A12" s="42" t="s">
        <v>352</v>
      </c>
      <c r="B12" s="42" t="s">
        <v>351</v>
      </c>
      <c r="C12" s="78">
        <v>28.5</v>
      </c>
      <c r="D12" s="78">
        <v>29.2</v>
      </c>
      <c r="E12" s="78">
        <v>29.8</v>
      </c>
      <c r="F12" s="64">
        <v>31</v>
      </c>
      <c r="G12" s="78">
        <v>32.1</v>
      </c>
    </row>
    <row r="13" spans="1:7" ht="15" customHeight="1" x14ac:dyDescent="0.55000000000000004">
      <c r="A13" s="42" t="s">
        <v>353</v>
      </c>
      <c r="B13" s="42" t="s">
        <v>354</v>
      </c>
      <c r="C13" s="64">
        <v>112</v>
      </c>
      <c r="D13" s="64">
        <v>113</v>
      </c>
      <c r="E13" s="64">
        <v>111</v>
      </c>
      <c r="F13" s="64">
        <v>114</v>
      </c>
      <c r="G13" s="64">
        <v>116</v>
      </c>
    </row>
    <row r="14" spans="1:7" ht="15" customHeight="1" x14ac:dyDescent="0.55000000000000004">
      <c r="A14" s="42" t="s">
        <v>355</v>
      </c>
      <c r="B14" s="42" t="s">
        <v>281</v>
      </c>
      <c r="C14" s="64">
        <v>4</v>
      </c>
      <c r="D14" s="64">
        <v>5</v>
      </c>
      <c r="E14" s="64">
        <v>3</v>
      </c>
      <c r="F14" s="64">
        <v>6</v>
      </c>
      <c r="G14" s="64">
        <v>7</v>
      </c>
    </row>
    <row r="15" spans="1:7" ht="15" customHeight="1" x14ac:dyDescent="0.55000000000000004">
      <c r="A15" s="42" t="s">
        <v>356</v>
      </c>
      <c r="B15" s="42" t="s">
        <v>281</v>
      </c>
      <c r="C15" s="64">
        <v>218</v>
      </c>
      <c r="D15" s="64">
        <v>221</v>
      </c>
      <c r="E15" s="64">
        <v>223</v>
      </c>
      <c r="F15" s="64">
        <v>228</v>
      </c>
      <c r="G15" s="64">
        <v>232</v>
      </c>
    </row>
    <row r="16" spans="1:7" ht="15" customHeight="1" x14ac:dyDescent="0.55000000000000004">
      <c r="A16" s="42" t="s">
        <v>357</v>
      </c>
      <c r="B16" s="42" t="s">
        <v>281</v>
      </c>
      <c r="C16" s="64">
        <v>64</v>
      </c>
      <c r="D16" s="64">
        <v>65</v>
      </c>
      <c r="E16" s="64">
        <v>65</v>
      </c>
      <c r="F16" s="64">
        <v>66</v>
      </c>
      <c r="G16" s="64">
        <v>67</v>
      </c>
    </row>
    <row r="17" spans="1:7" ht="15" customHeight="1" x14ac:dyDescent="0.55000000000000004">
      <c r="A17" s="42" t="s">
        <v>358</v>
      </c>
      <c r="B17" s="42" t="s">
        <v>281</v>
      </c>
      <c r="C17" s="64">
        <v>102</v>
      </c>
      <c r="D17" s="64">
        <v>104</v>
      </c>
      <c r="E17" s="64">
        <v>105</v>
      </c>
      <c r="F17" s="64">
        <v>108</v>
      </c>
      <c r="G17" s="64">
        <v>110</v>
      </c>
    </row>
    <row r="18" spans="1:7" ht="15" customHeight="1" x14ac:dyDescent="0.55000000000000004">
      <c r="A18" s="42" t="s">
        <v>359</v>
      </c>
      <c r="B18" s="42" t="s">
        <v>281</v>
      </c>
      <c r="C18" s="64">
        <v>52</v>
      </c>
      <c r="D18" s="64">
        <v>52</v>
      </c>
      <c r="E18" s="64">
        <v>53</v>
      </c>
      <c r="F18" s="64">
        <v>54</v>
      </c>
      <c r="G18" s="64">
        <v>55</v>
      </c>
    </row>
    <row r="19" spans="1:7" ht="15" customHeight="1" x14ac:dyDescent="0.55000000000000004">
      <c r="A19" s="42" t="s">
        <v>360</v>
      </c>
      <c r="B19" s="42" t="s">
        <v>342</v>
      </c>
      <c r="C19" s="64">
        <v>38</v>
      </c>
      <c r="D19" s="64">
        <v>41</v>
      </c>
      <c r="E19" s="64">
        <v>36</v>
      </c>
      <c r="F19" s="64">
        <v>44</v>
      </c>
      <c r="G19" s="64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08080"/>
  </sheetPr>
  <dimension ref="A1:I27"/>
  <sheetViews>
    <sheetView zoomScaleNormal="100" workbookViewId="0"/>
  </sheetViews>
  <sheetFormatPr defaultColWidth="8.68359375" defaultRowHeight="14.4" x14ac:dyDescent="0.55000000000000004"/>
  <cols>
    <col min="1" max="2" width="12" style="13" customWidth="1"/>
    <col min="3" max="3" width="38" style="13" customWidth="1"/>
    <col min="4" max="4" width="13.05078125" style="13" customWidth="1"/>
    <col min="5" max="5" width="10" style="13" customWidth="1"/>
    <col min="6" max="6" width="18.734375" style="13" customWidth="1"/>
    <col min="7" max="7" width="17.734375" style="13" customWidth="1"/>
    <col min="8" max="8" width="61.734375" style="13" customWidth="1"/>
    <col min="9" max="9" width="12" style="13" customWidth="1"/>
    <col min="10" max="15" width="10" style="13" customWidth="1"/>
    <col min="16" max="16384" width="8.68359375" style="13"/>
  </cols>
  <sheetData>
    <row r="1" spans="1:9" ht="17.25" customHeight="1" x14ac:dyDescent="0.55000000000000004">
      <c r="A1" s="14" t="s">
        <v>361</v>
      </c>
    </row>
    <row r="2" spans="1:9" ht="15" customHeight="1" x14ac:dyDescent="0.55000000000000004">
      <c r="A2" s="15" t="s">
        <v>362</v>
      </c>
    </row>
    <row r="4" spans="1:9" ht="15" customHeight="1" x14ac:dyDescent="0.55000000000000004">
      <c r="A4" s="77" t="s">
        <v>363</v>
      </c>
      <c r="B4" s="77" t="s">
        <v>364</v>
      </c>
      <c r="C4" s="77" t="s">
        <v>227</v>
      </c>
      <c r="D4" s="77" t="s">
        <v>313</v>
      </c>
      <c r="E4" s="77" t="s">
        <v>314</v>
      </c>
      <c r="F4" s="77" t="s">
        <v>365</v>
      </c>
      <c r="G4" s="77" t="s">
        <v>366</v>
      </c>
      <c r="H4" s="77" t="s">
        <v>367</v>
      </c>
      <c r="I4" s="77" t="s">
        <v>368</v>
      </c>
    </row>
    <row r="5" spans="1:9" ht="15" customHeight="1" x14ac:dyDescent="0.55000000000000004">
      <c r="A5" s="42" t="s">
        <v>369</v>
      </c>
      <c r="B5" s="42" t="s">
        <v>370</v>
      </c>
      <c r="C5" s="42" t="s">
        <v>154</v>
      </c>
      <c r="D5" s="42" t="s">
        <v>322</v>
      </c>
      <c r="E5" s="42" t="s">
        <v>327</v>
      </c>
      <c r="F5" s="42" t="s">
        <v>371</v>
      </c>
      <c r="G5" s="42" t="s">
        <v>372</v>
      </c>
      <c r="H5" s="42" t="s">
        <v>373</v>
      </c>
      <c r="I5" s="64">
        <v>255</v>
      </c>
    </row>
    <row r="6" spans="1:9" ht="15" customHeight="1" x14ac:dyDescent="0.55000000000000004">
      <c r="A6" s="42" t="s">
        <v>374</v>
      </c>
      <c r="B6" s="42" t="s">
        <v>375</v>
      </c>
      <c r="C6" s="42" t="s">
        <v>154</v>
      </c>
      <c r="D6" s="42" t="s">
        <v>322</v>
      </c>
      <c r="E6" s="42" t="s">
        <v>327</v>
      </c>
      <c r="F6" s="42" t="s">
        <v>376</v>
      </c>
      <c r="G6" s="42" t="s">
        <v>377</v>
      </c>
      <c r="H6" s="42" t="s">
        <v>378</v>
      </c>
      <c r="I6" s="64">
        <v>95</v>
      </c>
    </row>
    <row r="7" spans="1:9" ht="15" customHeight="1" x14ac:dyDescent="0.55000000000000004">
      <c r="A7" s="42" t="s">
        <v>379</v>
      </c>
      <c r="B7" s="42" t="s">
        <v>380</v>
      </c>
      <c r="C7" s="42" t="s">
        <v>154</v>
      </c>
      <c r="D7" s="42" t="s">
        <v>322</v>
      </c>
      <c r="E7" s="42" t="s">
        <v>327</v>
      </c>
      <c r="F7" s="42" t="s">
        <v>381</v>
      </c>
      <c r="G7" s="42" t="s">
        <v>382</v>
      </c>
      <c r="H7" s="42" t="s">
        <v>383</v>
      </c>
      <c r="I7" s="64">
        <v>28</v>
      </c>
    </row>
    <row r="8" spans="1:9" ht="15" customHeight="1" x14ac:dyDescent="0.55000000000000004">
      <c r="A8" s="42" t="s">
        <v>384</v>
      </c>
      <c r="B8" s="42" t="s">
        <v>385</v>
      </c>
      <c r="C8" s="42" t="s">
        <v>154</v>
      </c>
      <c r="D8" s="42" t="s">
        <v>322</v>
      </c>
      <c r="E8" s="42" t="s">
        <v>327</v>
      </c>
      <c r="F8" s="42" t="s">
        <v>386</v>
      </c>
      <c r="G8" s="42" t="s">
        <v>387</v>
      </c>
      <c r="H8" s="42" t="s">
        <v>388</v>
      </c>
      <c r="I8" s="64">
        <v>22</v>
      </c>
    </row>
    <row r="9" spans="1:9" ht="15" customHeight="1" x14ac:dyDescent="0.55000000000000004">
      <c r="A9" s="42" t="s">
        <v>389</v>
      </c>
      <c r="B9" s="42" t="s">
        <v>390</v>
      </c>
      <c r="C9" s="42" t="s">
        <v>154</v>
      </c>
      <c r="D9" s="42" t="s">
        <v>322</v>
      </c>
      <c r="E9" s="42" t="s">
        <v>327</v>
      </c>
      <c r="F9" s="42" t="s">
        <v>391</v>
      </c>
      <c r="G9" s="42" t="s">
        <v>392</v>
      </c>
      <c r="H9" s="42" t="s">
        <v>393</v>
      </c>
      <c r="I9" s="64">
        <v>30</v>
      </c>
    </row>
    <row r="10" spans="1:9" ht="15" customHeight="1" x14ac:dyDescent="0.55000000000000004">
      <c r="A10" s="42" t="s">
        <v>394</v>
      </c>
      <c r="B10" s="42" t="s">
        <v>395</v>
      </c>
      <c r="C10" s="42" t="s">
        <v>154</v>
      </c>
      <c r="D10" s="42" t="s">
        <v>322</v>
      </c>
      <c r="E10" s="42" t="s">
        <v>327</v>
      </c>
      <c r="F10" s="42" t="s">
        <v>371</v>
      </c>
      <c r="G10" s="42" t="s">
        <v>396</v>
      </c>
      <c r="H10" s="42" t="s">
        <v>397</v>
      </c>
      <c r="I10" s="64">
        <v>25</v>
      </c>
    </row>
    <row r="11" spans="1:9" ht="15" customHeight="1" x14ac:dyDescent="0.55000000000000004">
      <c r="A11" s="42" t="s">
        <v>398</v>
      </c>
      <c r="B11" s="42" t="s">
        <v>399</v>
      </c>
      <c r="C11" s="42" t="s">
        <v>154</v>
      </c>
      <c r="D11" s="42" t="s">
        <v>322</v>
      </c>
      <c r="E11" s="42" t="s">
        <v>327</v>
      </c>
      <c r="F11" s="42" t="s">
        <v>371</v>
      </c>
      <c r="G11" s="42" t="s">
        <v>400</v>
      </c>
      <c r="H11" s="42" t="s">
        <v>401</v>
      </c>
      <c r="I11" s="64">
        <v>25</v>
      </c>
    </row>
    <row r="12" spans="1:9" ht="15" customHeight="1" x14ac:dyDescent="0.55000000000000004">
      <c r="A12" s="42" t="s">
        <v>402</v>
      </c>
      <c r="B12" s="42" t="s">
        <v>403</v>
      </c>
      <c r="C12" s="42" t="s">
        <v>154</v>
      </c>
      <c r="D12" s="42" t="s">
        <v>322</v>
      </c>
      <c r="E12" s="42" t="s">
        <v>327</v>
      </c>
      <c r="F12" s="42" t="s">
        <v>391</v>
      </c>
      <c r="G12" s="42" t="s">
        <v>392</v>
      </c>
      <c r="H12" s="42" t="s">
        <v>393</v>
      </c>
      <c r="I12" s="64">
        <v>30</v>
      </c>
    </row>
    <row r="13" spans="1:9" ht="15" customHeight="1" x14ac:dyDescent="0.55000000000000004">
      <c r="A13" s="42" t="s">
        <v>404</v>
      </c>
      <c r="B13" s="42" t="s">
        <v>405</v>
      </c>
      <c r="C13" s="42" t="s">
        <v>156</v>
      </c>
      <c r="D13" s="42" t="s">
        <v>322</v>
      </c>
      <c r="E13" s="42" t="s">
        <v>327</v>
      </c>
      <c r="F13" s="42" t="s">
        <v>406</v>
      </c>
      <c r="G13" s="42" t="s">
        <v>407</v>
      </c>
      <c r="H13" s="42" t="s">
        <v>408</v>
      </c>
      <c r="I13" s="64">
        <v>15</v>
      </c>
    </row>
    <row r="14" spans="1:9" ht="15" customHeight="1" x14ac:dyDescent="0.55000000000000004">
      <c r="A14" s="42" t="s">
        <v>409</v>
      </c>
      <c r="B14" s="42" t="s">
        <v>410</v>
      </c>
      <c r="C14" s="42" t="s">
        <v>156</v>
      </c>
      <c r="D14" s="42" t="s">
        <v>322</v>
      </c>
      <c r="E14" s="42" t="s">
        <v>327</v>
      </c>
      <c r="F14" s="42" t="s">
        <v>406</v>
      </c>
      <c r="G14" s="42" t="s">
        <v>411</v>
      </c>
      <c r="H14" s="42" t="s">
        <v>412</v>
      </c>
      <c r="I14" s="64">
        <v>10</v>
      </c>
    </row>
    <row r="15" spans="1:9" ht="15" customHeight="1" x14ac:dyDescent="0.55000000000000004">
      <c r="A15" s="42" t="s">
        <v>413</v>
      </c>
      <c r="B15" s="42" t="s">
        <v>414</v>
      </c>
      <c r="C15" s="42" t="s">
        <v>156</v>
      </c>
      <c r="D15" s="42" t="s">
        <v>322</v>
      </c>
      <c r="E15" s="42" t="s">
        <v>327</v>
      </c>
      <c r="F15" s="42" t="s">
        <v>415</v>
      </c>
      <c r="G15" s="42" t="s">
        <v>416</v>
      </c>
      <c r="H15" s="42" t="s">
        <v>417</v>
      </c>
      <c r="I15" s="64">
        <v>150</v>
      </c>
    </row>
    <row r="16" spans="1:9" ht="15" customHeight="1" x14ac:dyDescent="0.55000000000000004">
      <c r="A16" s="42" t="s">
        <v>418</v>
      </c>
      <c r="B16" s="42" t="s">
        <v>419</v>
      </c>
      <c r="C16" s="42" t="s">
        <v>144</v>
      </c>
      <c r="D16" s="42" t="s">
        <v>273</v>
      </c>
      <c r="E16" s="42" t="s">
        <v>321</v>
      </c>
      <c r="F16" s="42" t="s">
        <v>420</v>
      </c>
      <c r="G16" s="42" t="s">
        <v>421</v>
      </c>
      <c r="H16" s="42" t="s">
        <v>422</v>
      </c>
      <c r="I16" s="64">
        <v>1178</v>
      </c>
    </row>
    <row r="17" spans="1:9" ht="15" customHeight="1" x14ac:dyDescent="0.55000000000000004">
      <c r="A17" s="42" t="s">
        <v>418</v>
      </c>
      <c r="B17" s="42" t="s">
        <v>423</v>
      </c>
      <c r="C17" s="42" t="s">
        <v>144</v>
      </c>
      <c r="D17" s="42" t="s">
        <v>273</v>
      </c>
      <c r="E17" s="42" t="s">
        <v>321</v>
      </c>
      <c r="F17" s="42" t="s">
        <v>420</v>
      </c>
      <c r="G17" s="42" t="s">
        <v>424</v>
      </c>
      <c r="H17" s="42" t="s">
        <v>425</v>
      </c>
      <c r="I17" s="64">
        <v>70</v>
      </c>
    </row>
    <row r="18" spans="1:9" ht="15" customHeight="1" x14ac:dyDescent="0.55000000000000004">
      <c r="A18" s="42" t="s">
        <v>426</v>
      </c>
      <c r="B18" s="42" t="s">
        <v>427</v>
      </c>
      <c r="C18" s="42" t="s">
        <v>144</v>
      </c>
      <c r="D18" s="42" t="s">
        <v>273</v>
      </c>
      <c r="E18" s="42" t="s">
        <v>321</v>
      </c>
      <c r="F18" s="42" t="s">
        <v>428</v>
      </c>
      <c r="G18" s="42" t="s">
        <v>429</v>
      </c>
      <c r="H18" s="42" t="s">
        <v>430</v>
      </c>
      <c r="I18" s="64">
        <v>132</v>
      </c>
    </row>
    <row r="19" spans="1:9" ht="15" customHeight="1" x14ac:dyDescent="0.55000000000000004">
      <c r="A19" s="42" t="s">
        <v>431</v>
      </c>
      <c r="B19" s="42" t="s">
        <v>432</v>
      </c>
      <c r="C19" s="42" t="s">
        <v>157</v>
      </c>
      <c r="D19" s="42" t="s">
        <v>322</v>
      </c>
      <c r="E19" s="42" t="s">
        <v>327</v>
      </c>
      <c r="F19" s="42" t="s">
        <v>433</v>
      </c>
      <c r="G19" s="42" t="s">
        <v>434</v>
      </c>
      <c r="H19" s="42" t="s">
        <v>435</v>
      </c>
      <c r="I19" s="64">
        <v>70</v>
      </c>
    </row>
    <row r="20" spans="1:9" ht="15" customHeight="1" x14ac:dyDescent="0.55000000000000004">
      <c r="A20" s="42" t="s">
        <v>418</v>
      </c>
      <c r="B20" s="42" t="s">
        <v>436</v>
      </c>
      <c r="C20" s="42" t="s">
        <v>157</v>
      </c>
      <c r="D20" s="42" t="s">
        <v>322</v>
      </c>
      <c r="E20" s="42" t="s">
        <v>327</v>
      </c>
      <c r="F20" s="42" t="s">
        <v>437</v>
      </c>
      <c r="G20" s="42" t="s">
        <v>438</v>
      </c>
      <c r="H20" s="42" t="s">
        <v>439</v>
      </c>
      <c r="I20" s="64">
        <v>40</v>
      </c>
    </row>
    <row r="21" spans="1:9" ht="15" customHeight="1" x14ac:dyDescent="0.55000000000000004">
      <c r="A21" s="42" t="s">
        <v>440</v>
      </c>
      <c r="B21" s="42" t="s">
        <v>441</v>
      </c>
      <c r="C21" s="42" t="s">
        <v>157</v>
      </c>
      <c r="D21" s="42" t="s">
        <v>322</v>
      </c>
      <c r="E21" s="42" t="s">
        <v>327</v>
      </c>
      <c r="F21" s="42" t="s">
        <v>442</v>
      </c>
      <c r="G21" s="42" t="s">
        <v>443</v>
      </c>
      <c r="H21" s="42" t="s">
        <v>444</v>
      </c>
      <c r="I21" s="64">
        <v>30</v>
      </c>
    </row>
    <row r="22" spans="1:9" ht="15" customHeight="1" x14ac:dyDescent="0.55000000000000004">
      <c r="A22" s="42" t="s">
        <v>445</v>
      </c>
      <c r="B22" s="42" t="s">
        <v>446</v>
      </c>
      <c r="C22" s="42" t="s">
        <v>157</v>
      </c>
      <c r="D22" s="42" t="s">
        <v>322</v>
      </c>
      <c r="E22" s="42" t="s">
        <v>327</v>
      </c>
      <c r="F22" s="42" t="s">
        <v>447</v>
      </c>
      <c r="G22" s="42" t="s">
        <v>448</v>
      </c>
      <c r="H22" s="42" t="s">
        <v>449</v>
      </c>
      <c r="I22" s="64">
        <v>25</v>
      </c>
    </row>
    <row r="23" spans="1:9" ht="15" customHeight="1" x14ac:dyDescent="0.55000000000000004">
      <c r="A23" s="42" t="s">
        <v>450</v>
      </c>
      <c r="B23" s="42" t="s">
        <v>451</v>
      </c>
      <c r="C23" s="42" t="s">
        <v>158</v>
      </c>
      <c r="D23" s="42" t="s">
        <v>322</v>
      </c>
      <c r="E23" s="42" t="s">
        <v>327</v>
      </c>
      <c r="F23" s="42" t="s">
        <v>452</v>
      </c>
      <c r="G23" s="42" t="s">
        <v>453</v>
      </c>
      <c r="H23" s="42" t="s">
        <v>454</v>
      </c>
      <c r="I23" s="64">
        <v>18</v>
      </c>
    </row>
    <row r="24" spans="1:9" ht="15" customHeight="1" x14ac:dyDescent="0.55000000000000004">
      <c r="A24" s="42" t="s">
        <v>450</v>
      </c>
      <c r="B24" s="42" t="s">
        <v>455</v>
      </c>
      <c r="C24" s="42" t="s">
        <v>158</v>
      </c>
      <c r="D24" s="42" t="s">
        <v>322</v>
      </c>
      <c r="E24" s="42" t="s">
        <v>327</v>
      </c>
      <c r="F24" s="42" t="s">
        <v>456</v>
      </c>
      <c r="G24" s="42" t="s">
        <v>457</v>
      </c>
      <c r="H24" s="42" t="s">
        <v>458</v>
      </c>
      <c r="I24" s="64">
        <v>12</v>
      </c>
    </row>
    <row r="25" spans="1:9" ht="15" customHeight="1" x14ac:dyDescent="0.55000000000000004">
      <c r="A25" s="42" t="s">
        <v>450</v>
      </c>
      <c r="B25" s="42" t="s">
        <v>459</v>
      </c>
      <c r="C25" s="42" t="s">
        <v>158</v>
      </c>
      <c r="D25" s="42" t="s">
        <v>322</v>
      </c>
      <c r="E25" s="42" t="s">
        <v>327</v>
      </c>
      <c r="F25" s="42" t="s">
        <v>460</v>
      </c>
      <c r="G25" s="42" t="s">
        <v>461</v>
      </c>
      <c r="H25" s="42" t="s">
        <v>462</v>
      </c>
      <c r="I25" s="64">
        <v>8</v>
      </c>
    </row>
    <row r="26" spans="1:9" ht="15" customHeight="1" x14ac:dyDescent="0.55000000000000004">
      <c r="A26" s="42" t="s">
        <v>450</v>
      </c>
      <c r="B26" s="42" t="s">
        <v>463</v>
      </c>
      <c r="C26" s="42" t="s">
        <v>158</v>
      </c>
      <c r="D26" s="42" t="s">
        <v>322</v>
      </c>
      <c r="E26" s="42" t="s">
        <v>327</v>
      </c>
      <c r="F26" s="42" t="s">
        <v>464</v>
      </c>
      <c r="G26" s="42" t="s">
        <v>465</v>
      </c>
      <c r="H26" s="42" t="s">
        <v>466</v>
      </c>
      <c r="I26" s="64">
        <v>34</v>
      </c>
    </row>
    <row r="27" spans="1:9" ht="15" customHeight="1" x14ac:dyDescent="0.55000000000000004">
      <c r="A27" s="42" t="s">
        <v>450</v>
      </c>
      <c r="B27" s="42" t="s">
        <v>467</v>
      </c>
      <c r="C27" s="42" t="s">
        <v>158</v>
      </c>
      <c r="D27" s="42" t="s">
        <v>322</v>
      </c>
      <c r="E27" s="42" t="s">
        <v>327</v>
      </c>
      <c r="F27" s="42" t="s">
        <v>468</v>
      </c>
      <c r="G27" s="42" t="s">
        <v>469</v>
      </c>
      <c r="H27" s="42" t="s">
        <v>470</v>
      </c>
      <c r="I27" s="64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472C4"/>
  </sheetPr>
  <dimension ref="A1:F44"/>
  <sheetViews>
    <sheetView zoomScaleNormal="100" workbookViewId="0">
      <selection activeCell="E18" sqref="E18"/>
    </sheetView>
  </sheetViews>
  <sheetFormatPr defaultColWidth="8.83984375" defaultRowHeight="14.4" x14ac:dyDescent="0.55000000000000004"/>
  <cols>
    <col min="1" max="1" width="9.62890625" style="13" customWidth="1"/>
    <col min="2" max="2" width="29.83984375" style="13" customWidth="1"/>
    <col min="3" max="3" width="43.83984375" style="13" customWidth="1"/>
    <col min="4" max="4" width="31.578125" style="13" customWidth="1"/>
    <col min="5" max="5" width="54.3671875" style="13" customWidth="1"/>
    <col min="6" max="6" width="22.7890625" style="13" customWidth="1"/>
    <col min="7" max="16384" width="8.83984375" style="13"/>
  </cols>
  <sheetData>
    <row r="1" spans="1:6" ht="18" customHeight="1" x14ac:dyDescent="0.55000000000000004">
      <c r="A1" s="7" t="s">
        <v>471</v>
      </c>
      <c r="B1" s="7"/>
      <c r="C1" s="7"/>
      <c r="D1" s="7"/>
      <c r="E1" s="7"/>
      <c r="F1" s="7"/>
    </row>
    <row r="2" spans="1:6" ht="14.25" customHeight="1" x14ac:dyDescent="0.55000000000000004">
      <c r="A2" s="6" t="s">
        <v>472</v>
      </c>
      <c r="B2" s="6"/>
      <c r="C2" s="6"/>
      <c r="D2" s="6"/>
      <c r="E2" s="6"/>
      <c r="F2" s="6"/>
    </row>
    <row r="3" spans="1:6" x14ac:dyDescent="0.55000000000000004">
      <c r="A3" s="79"/>
      <c r="B3" s="79"/>
      <c r="C3" s="79"/>
      <c r="D3" s="79"/>
      <c r="E3" s="79"/>
      <c r="F3" s="79"/>
    </row>
    <row r="4" spans="1:6" x14ac:dyDescent="0.55000000000000004">
      <c r="A4" s="80" t="s">
        <v>473</v>
      </c>
      <c r="B4" s="80" t="s">
        <v>474</v>
      </c>
      <c r="C4" s="80" t="s">
        <v>475</v>
      </c>
      <c r="D4" s="80" t="s">
        <v>476</v>
      </c>
      <c r="E4" s="80" t="s">
        <v>477</v>
      </c>
      <c r="F4" s="80" t="s">
        <v>478</v>
      </c>
    </row>
    <row r="5" spans="1:6" ht="28.5" customHeight="1" x14ac:dyDescent="0.55000000000000004">
      <c r="A5" s="81">
        <v>5</v>
      </c>
      <c r="B5" s="79" t="s">
        <v>107</v>
      </c>
      <c r="C5" s="79" t="s">
        <v>479</v>
      </c>
      <c r="D5" s="79" t="s">
        <v>480</v>
      </c>
      <c r="E5" s="79" t="s">
        <v>481</v>
      </c>
      <c r="F5" s="79" t="s">
        <v>482</v>
      </c>
    </row>
    <row r="6" spans="1:6" ht="28.5" customHeight="1" x14ac:dyDescent="0.55000000000000004">
      <c r="A6" s="81">
        <v>6</v>
      </c>
      <c r="B6" s="79" t="s">
        <v>109</v>
      </c>
      <c r="C6" s="79" t="s">
        <v>483</v>
      </c>
      <c r="D6" s="79" t="s">
        <v>484</v>
      </c>
      <c r="E6" s="79" t="s">
        <v>485</v>
      </c>
      <c r="F6" s="79" t="s">
        <v>486</v>
      </c>
    </row>
    <row r="7" spans="1:6" ht="28.5" customHeight="1" x14ac:dyDescent="0.55000000000000004">
      <c r="A7" s="81">
        <v>7</v>
      </c>
      <c r="B7" s="79" t="s">
        <v>487</v>
      </c>
      <c r="C7" s="79" t="s">
        <v>488</v>
      </c>
      <c r="D7" s="79" t="s">
        <v>489</v>
      </c>
      <c r="E7" s="79" t="s">
        <v>490</v>
      </c>
      <c r="F7" s="79" t="s">
        <v>491</v>
      </c>
    </row>
    <row r="8" spans="1:6" ht="28.5" customHeight="1" x14ac:dyDescent="0.55000000000000004">
      <c r="A8" s="81">
        <v>8</v>
      </c>
      <c r="B8" s="79" t="s">
        <v>492</v>
      </c>
      <c r="C8" s="79" t="s">
        <v>493</v>
      </c>
      <c r="D8" s="79" t="s">
        <v>494</v>
      </c>
      <c r="E8" s="79" t="s">
        <v>495</v>
      </c>
      <c r="F8" s="79" t="s">
        <v>496</v>
      </c>
    </row>
    <row r="9" spans="1:6" ht="28.5" customHeight="1" x14ac:dyDescent="0.55000000000000004">
      <c r="A9" s="81">
        <v>11</v>
      </c>
      <c r="B9" s="79" t="s">
        <v>497</v>
      </c>
      <c r="C9" s="79" t="s">
        <v>498</v>
      </c>
      <c r="D9" s="79" t="s">
        <v>499</v>
      </c>
      <c r="E9" s="79" t="s">
        <v>500</v>
      </c>
      <c r="F9" s="79" t="s">
        <v>501</v>
      </c>
    </row>
    <row r="10" spans="1:6" ht="42.75" customHeight="1" x14ac:dyDescent="0.55000000000000004">
      <c r="A10" s="81">
        <v>12</v>
      </c>
      <c r="B10" s="79" t="s">
        <v>502</v>
      </c>
      <c r="C10" s="79" t="s">
        <v>503</v>
      </c>
      <c r="D10" s="79" t="s">
        <v>504</v>
      </c>
      <c r="E10" s="79" t="s">
        <v>505</v>
      </c>
      <c r="F10" s="79" t="s">
        <v>506</v>
      </c>
    </row>
    <row r="11" spans="1:6" ht="28.5" customHeight="1" x14ac:dyDescent="0.55000000000000004">
      <c r="A11" s="81">
        <v>13</v>
      </c>
      <c r="B11" s="79" t="s">
        <v>507</v>
      </c>
      <c r="C11" s="79" t="s">
        <v>508</v>
      </c>
      <c r="D11" s="79" t="s">
        <v>509</v>
      </c>
      <c r="E11" s="79" t="s">
        <v>510</v>
      </c>
      <c r="F11" s="79" t="s">
        <v>511</v>
      </c>
    </row>
    <row r="12" spans="1:6" ht="28.5" customHeight="1" x14ac:dyDescent="0.55000000000000004">
      <c r="A12" s="81">
        <v>16</v>
      </c>
      <c r="B12" s="79" t="s">
        <v>512</v>
      </c>
      <c r="C12" s="79" t="s">
        <v>513</v>
      </c>
      <c r="D12" s="79" t="s">
        <v>514</v>
      </c>
      <c r="E12" s="79" t="s">
        <v>515</v>
      </c>
      <c r="F12" s="79" t="s">
        <v>511</v>
      </c>
    </row>
    <row r="13" spans="1:6" ht="28.5" customHeight="1" x14ac:dyDescent="0.55000000000000004">
      <c r="A13" s="81">
        <v>17</v>
      </c>
      <c r="B13" s="79" t="s">
        <v>516</v>
      </c>
      <c r="C13" s="79" t="s">
        <v>517</v>
      </c>
      <c r="D13" s="79" t="s">
        <v>518</v>
      </c>
      <c r="E13" s="79" t="s">
        <v>519</v>
      </c>
      <c r="F13" s="79" t="s">
        <v>511</v>
      </c>
    </row>
    <row r="14" spans="1:6" ht="42.75" customHeight="1" x14ac:dyDescent="0.55000000000000004">
      <c r="A14" s="81">
        <v>18</v>
      </c>
      <c r="B14" s="79" t="s">
        <v>520</v>
      </c>
      <c r="C14" s="79" t="s">
        <v>521</v>
      </c>
      <c r="D14" s="79" t="s">
        <v>522</v>
      </c>
      <c r="E14" s="79" t="s">
        <v>523</v>
      </c>
      <c r="F14" s="79" t="s">
        <v>511</v>
      </c>
    </row>
    <row r="15" spans="1:6" x14ac:dyDescent="0.55000000000000004">
      <c r="A15" s="81">
        <v>19</v>
      </c>
      <c r="B15" s="79" t="s">
        <v>524</v>
      </c>
      <c r="C15" s="79" t="s">
        <v>525</v>
      </c>
      <c r="D15" s="79" t="s">
        <v>526</v>
      </c>
      <c r="E15" s="79" t="s">
        <v>527</v>
      </c>
      <c r="F15" s="79" t="s">
        <v>511</v>
      </c>
    </row>
    <row r="16" spans="1:6" ht="28.5" customHeight="1" x14ac:dyDescent="0.55000000000000004">
      <c r="A16" s="81">
        <v>20</v>
      </c>
      <c r="B16" s="79" t="s">
        <v>143</v>
      </c>
      <c r="C16" s="79" t="s">
        <v>528</v>
      </c>
      <c r="D16" s="79" t="s">
        <v>529</v>
      </c>
      <c r="E16" s="79" t="s">
        <v>530</v>
      </c>
      <c r="F16" s="79" t="s">
        <v>531</v>
      </c>
    </row>
    <row r="17" spans="1:6" ht="42.75" customHeight="1" x14ac:dyDescent="0.55000000000000004">
      <c r="A17" s="81">
        <v>21</v>
      </c>
      <c r="B17" s="79" t="s">
        <v>532</v>
      </c>
      <c r="C17" s="79" t="s">
        <v>533</v>
      </c>
      <c r="D17" s="79" t="s">
        <v>534</v>
      </c>
      <c r="E17" s="79" t="s">
        <v>535</v>
      </c>
      <c r="F17" s="79" t="s">
        <v>511</v>
      </c>
    </row>
    <row r="18" spans="1:6" ht="28.5" customHeight="1" x14ac:dyDescent="0.55000000000000004">
      <c r="A18" s="81">
        <v>22</v>
      </c>
      <c r="B18" s="79" t="s">
        <v>145</v>
      </c>
      <c r="C18" s="79" t="s">
        <v>536</v>
      </c>
      <c r="D18" s="79" t="s">
        <v>537</v>
      </c>
      <c r="E18" s="79" t="s">
        <v>538</v>
      </c>
      <c r="F18" s="79" t="s">
        <v>511</v>
      </c>
    </row>
    <row r="19" spans="1:6" ht="28.5" customHeight="1" x14ac:dyDescent="0.55000000000000004">
      <c r="A19" s="81">
        <v>23</v>
      </c>
      <c r="B19" s="79" t="s">
        <v>146</v>
      </c>
      <c r="C19" s="79" t="s">
        <v>539</v>
      </c>
      <c r="D19" s="79" t="s">
        <v>540</v>
      </c>
      <c r="E19" s="79" t="s">
        <v>541</v>
      </c>
      <c r="F19" s="79" t="s">
        <v>542</v>
      </c>
    </row>
    <row r="20" spans="1:6" ht="28.5" customHeight="1" x14ac:dyDescent="0.55000000000000004">
      <c r="A20" s="81">
        <v>24</v>
      </c>
      <c r="B20" s="79" t="s">
        <v>147</v>
      </c>
      <c r="C20" s="79" t="s">
        <v>543</v>
      </c>
      <c r="D20" s="79" t="s">
        <v>544</v>
      </c>
      <c r="E20" s="79" t="s">
        <v>545</v>
      </c>
      <c r="F20" s="79" t="s">
        <v>546</v>
      </c>
    </row>
    <row r="21" spans="1:6" ht="28.5" customHeight="1" x14ac:dyDescent="0.55000000000000004">
      <c r="A21" s="81">
        <v>25</v>
      </c>
      <c r="B21" s="79" t="s">
        <v>148</v>
      </c>
      <c r="C21" s="79" t="s">
        <v>547</v>
      </c>
      <c r="D21" s="79" t="s">
        <v>548</v>
      </c>
      <c r="E21" s="79" t="s">
        <v>549</v>
      </c>
      <c r="F21" s="79" t="s">
        <v>511</v>
      </c>
    </row>
    <row r="22" spans="1:6" ht="42.75" customHeight="1" x14ac:dyDescent="0.55000000000000004">
      <c r="A22" s="81">
        <v>26</v>
      </c>
      <c r="B22" s="79" t="s">
        <v>149</v>
      </c>
      <c r="C22" s="79" t="s">
        <v>550</v>
      </c>
      <c r="D22" s="79" t="s">
        <v>551</v>
      </c>
      <c r="E22" s="79" t="s">
        <v>552</v>
      </c>
      <c r="F22" s="79" t="s">
        <v>553</v>
      </c>
    </row>
    <row r="23" spans="1:6" x14ac:dyDescent="0.55000000000000004">
      <c r="A23" s="81">
        <v>27</v>
      </c>
      <c r="B23" s="79" t="s">
        <v>150</v>
      </c>
      <c r="C23" s="79" t="s">
        <v>554</v>
      </c>
      <c r="D23" s="79" t="s">
        <v>555</v>
      </c>
      <c r="E23" s="79" t="s">
        <v>556</v>
      </c>
      <c r="F23" s="79" t="s">
        <v>553</v>
      </c>
    </row>
    <row r="24" spans="1:6" ht="28.5" customHeight="1" x14ac:dyDescent="0.55000000000000004">
      <c r="A24" s="81">
        <v>28</v>
      </c>
      <c r="B24" s="79" t="s">
        <v>557</v>
      </c>
      <c r="C24" s="79" t="s">
        <v>558</v>
      </c>
      <c r="D24" s="79" t="s">
        <v>559</v>
      </c>
      <c r="E24" s="79" t="s">
        <v>560</v>
      </c>
      <c r="F24" s="79" t="s">
        <v>511</v>
      </c>
    </row>
    <row r="25" spans="1:6" x14ac:dyDescent="0.55000000000000004">
      <c r="A25" s="81">
        <v>29</v>
      </c>
      <c r="B25" s="79" t="s">
        <v>561</v>
      </c>
      <c r="C25" s="79" t="s">
        <v>562</v>
      </c>
      <c r="D25" s="79" t="s">
        <v>563</v>
      </c>
      <c r="E25" s="79" t="s">
        <v>564</v>
      </c>
      <c r="F25" s="79" t="s">
        <v>511</v>
      </c>
    </row>
    <row r="26" spans="1:6" x14ac:dyDescent="0.55000000000000004">
      <c r="A26" s="81">
        <v>30</v>
      </c>
      <c r="B26" s="79" t="s">
        <v>565</v>
      </c>
      <c r="C26" s="79" t="s">
        <v>566</v>
      </c>
      <c r="D26" s="79" t="s">
        <v>567</v>
      </c>
      <c r="E26" s="79" t="s">
        <v>564</v>
      </c>
      <c r="F26" s="79" t="s">
        <v>511</v>
      </c>
    </row>
    <row r="27" spans="1:6" ht="42.75" customHeight="1" x14ac:dyDescent="0.55000000000000004">
      <c r="A27" s="81">
        <v>31</v>
      </c>
      <c r="B27" s="79" t="s">
        <v>154</v>
      </c>
      <c r="C27" s="79" t="s">
        <v>568</v>
      </c>
      <c r="D27" s="79" t="s">
        <v>308</v>
      </c>
      <c r="E27" s="79" t="s">
        <v>569</v>
      </c>
      <c r="F27" s="79" t="s">
        <v>511</v>
      </c>
    </row>
    <row r="28" spans="1:6" ht="28.5" customHeight="1" x14ac:dyDescent="0.55000000000000004">
      <c r="A28" s="81">
        <v>32</v>
      </c>
      <c r="B28" s="79" t="s">
        <v>155</v>
      </c>
      <c r="C28" s="79" t="s">
        <v>570</v>
      </c>
      <c r="D28" s="79" t="s">
        <v>571</v>
      </c>
      <c r="E28" s="79" t="s">
        <v>572</v>
      </c>
      <c r="F28" s="79" t="s">
        <v>511</v>
      </c>
    </row>
    <row r="29" spans="1:6" ht="28.5" customHeight="1" x14ac:dyDescent="0.55000000000000004">
      <c r="A29" s="81">
        <v>33</v>
      </c>
      <c r="B29" s="79" t="s">
        <v>156</v>
      </c>
      <c r="C29" s="79" t="s">
        <v>570</v>
      </c>
      <c r="D29" s="79" t="s">
        <v>573</v>
      </c>
      <c r="E29" s="79" t="s">
        <v>574</v>
      </c>
      <c r="F29" s="79" t="s">
        <v>511</v>
      </c>
    </row>
    <row r="30" spans="1:6" ht="28.5" customHeight="1" x14ac:dyDescent="0.55000000000000004">
      <c r="A30" s="81">
        <v>34</v>
      </c>
      <c r="B30" s="79" t="s">
        <v>157</v>
      </c>
      <c r="C30" s="79" t="s">
        <v>570</v>
      </c>
      <c r="D30" s="79" t="s">
        <v>575</v>
      </c>
      <c r="E30" s="79" t="s">
        <v>576</v>
      </c>
      <c r="F30" s="79" t="s">
        <v>511</v>
      </c>
    </row>
    <row r="31" spans="1:6" ht="28.5" customHeight="1" x14ac:dyDescent="0.55000000000000004">
      <c r="A31" s="81">
        <v>35</v>
      </c>
      <c r="B31" s="79" t="s">
        <v>158</v>
      </c>
      <c r="C31" s="79" t="s">
        <v>570</v>
      </c>
      <c r="D31" s="79" t="s">
        <v>577</v>
      </c>
      <c r="E31" s="79" t="s">
        <v>578</v>
      </c>
      <c r="F31" s="79" t="s">
        <v>511</v>
      </c>
    </row>
    <row r="32" spans="1:6" ht="28.5" customHeight="1" x14ac:dyDescent="0.55000000000000004">
      <c r="A32" s="81">
        <v>36</v>
      </c>
      <c r="B32" s="79" t="s">
        <v>159</v>
      </c>
      <c r="C32" s="79" t="s">
        <v>570</v>
      </c>
      <c r="D32" s="79" t="s">
        <v>579</v>
      </c>
      <c r="E32" s="79" t="s">
        <v>580</v>
      </c>
      <c r="F32" s="79" t="s">
        <v>511</v>
      </c>
    </row>
    <row r="33" spans="1:6" ht="28.5" customHeight="1" x14ac:dyDescent="0.55000000000000004">
      <c r="A33" s="81">
        <v>37</v>
      </c>
      <c r="B33" s="79" t="s">
        <v>160</v>
      </c>
      <c r="C33" s="79" t="s">
        <v>570</v>
      </c>
      <c r="D33" s="79" t="s">
        <v>581</v>
      </c>
      <c r="E33" s="79" t="s">
        <v>582</v>
      </c>
      <c r="F33" s="79" t="s">
        <v>511</v>
      </c>
    </row>
    <row r="34" spans="1:6" ht="28.5" customHeight="1" x14ac:dyDescent="0.55000000000000004">
      <c r="A34" s="81">
        <v>38</v>
      </c>
      <c r="B34" s="79" t="s">
        <v>161</v>
      </c>
      <c r="C34" s="79" t="s">
        <v>583</v>
      </c>
      <c r="D34" s="79" t="s">
        <v>584</v>
      </c>
      <c r="E34" s="79" t="s">
        <v>585</v>
      </c>
      <c r="F34" s="79" t="s">
        <v>511</v>
      </c>
    </row>
    <row r="35" spans="1:6" ht="28.5" customHeight="1" x14ac:dyDescent="0.55000000000000004">
      <c r="A35" s="81">
        <v>39</v>
      </c>
      <c r="B35" s="79" t="s">
        <v>586</v>
      </c>
      <c r="C35" s="79" t="s">
        <v>587</v>
      </c>
      <c r="D35" s="79" t="s">
        <v>588</v>
      </c>
      <c r="E35" s="79" t="s">
        <v>589</v>
      </c>
      <c r="F35" s="79" t="s">
        <v>553</v>
      </c>
    </row>
    <row r="36" spans="1:6" ht="57" customHeight="1" x14ac:dyDescent="0.55000000000000004">
      <c r="A36" s="81">
        <v>40</v>
      </c>
      <c r="B36" s="79" t="s">
        <v>163</v>
      </c>
      <c r="C36" s="79" t="s">
        <v>590</v>
      </c>
      <c r="D36" s="79" t="s">
        <v>591</v>
      </c>
      <c r="E36" s="79" t="s">
        <v>592</v>
      </c>
      <c r="F36" s="79" t="s">
        <v>593</v>
      </c>
    </row>
    <row r="37" spans="1:6" ht="28.5" customHeight="1" x14ac:dyDescent="0.55000000000000004">
      <c r="A37" s="81">
        <v>41</v>
      </c>
      <c r="B37" s="79" t="s">
        <v>492</v>
      </c>
      <c r="C37" s="79" t="s">
        <v>594</v>
      </c>
      <c r="D37" s="79" t="s">
        <v>595</v>
      </c>
      <c r="E37" s="79" t="s">
        <v>596</v>
      </c>
      <c r="F37" s="79" t="s">
        <v>597</v>
      </c>
    </row>
    <row r="38" spans="1:6" x14ac:dyDescent="0.55000000000000004">
      <c r="A38" s="81"/>
      <c r="B38" s="79"/>
      <c r="C38" s="79"/>
      <c r="D38" s="79"/>
      <c r="E38" s="79"/>
      <c r="F38" s="79"/>
    </row>
    <row r="39" spans="1:6" ht="14.25" customHeight="1" x14ac:dyDescent="0.55000000000000004">
      <c r="A39" s="5" t="s">
        <v>598</v>
      </c>
      <c r="B39" s="5"/>
      <c r="C39" s="5"/>
      <c r="D39" s="5"/>
      <c r="E39" s="5"/>
      <c r="F39" s="5"/>
    </row>
    <row r="40" spans="1:6" ht="42.75" customHeight="1" x14ac:dyDescent="0.55000000000000004">
      <c r="A40" s="81">
        <v>1</v>
      </c>
      <c r="B40" s="79" t="s">
        <v>599</v>
      </c>
      <c r="C40" s="79" t="s">
        <v>600</v>
      </c>
      <c r="D40" s="79"/>
      <c r="E40" s="79" t="s">
        <v>601</v>
      </c>
      <c r="F40" s="79"/>
    </row>
    <row r="41" spans="1:6" ht="28.5" customHeight="1" x14ac:dyDescent="0.55000000000000004">
      <c r="A41" s="81">
        <v>2</v>
      </c>
      <c r="B41" s="79" t="s">
        <v>602</v>
      </c>
      <c r="C41" s="79" t="s">
        <v>603</v>
      </c>
      <c r="D41" s="79" t="s">
        <v>604</v>
      </c>
      <c r="E41" s="79" t="s">
        <v>605</v>
      </c>
      <c r="F41" s="79"/>
    </row>
    <row r="42" spans="1:6" ht="42.75" customHeight="1" x14ac:dyDescent="0.55000000000000004">
      <c r="A42" s="81">
        <v>3</v>
      </c>
      <c r="B42" s="79" t="s">
        <v>606</v>
      </c>
      <c r="C42" s="79" t="s">
        <v>607</v>
      </c>
      <c r="D42" s="79" t="s">
        <v>608</v>
      </c>
      <c r="E42" s="79" t="s">
        <v>609</v>
      </c>
      <c r="F42" s="79"/>
    </row>
    <row r="43" spans="1:6" ht="57" customHeight="1" x14ac:dyDescent="0.55000000000000004">
      <c r="A43" s="81">
        <v>4</v>
      </c>
      <c r="B43" s="79" t="s">
        <v>610</v>
      </c>
      <c r="C43" s="79" t="s">
        <v>611</v>
      </c>
      <c r="D43" s="79" t="s">
        <v>612</v>
      </c>
      <c r="E43" s="79" t="s">
        <v>613</v>
      </c>
      <c r="F43" s="79"/>
    </row>
    <row r="44" spans="1:6" ht="28.5" customHeight="1" x14ac:dyDescent="0.55000000000000004">
      <c r="A44" s="81">
        <v>5</v>
      </c>
      <c r="B44" s="79" t="s">
        <v>614</v>
      </c>
      <c r="C44" s="79" t="s">
        <v>615</v>
      </c>
      <c r="D44" s="79" t="s">
        <v>616</v>
      </c>
      <c r="E44" s="79" t="s">
        <v>617</v>
      </c>
      <c r="F44" s="79"/>
    </row>
  </sheetData>
  <mergeCells count="3">
    <mergeCell ref="A1:F1"/>
    <mergeCell ref="A2:F2"/>
    <mergeCell ref="A39:F39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Read Me</vt:lpstr>
      <vt:lpstr>Inputs</vt:lpstr>
      <vt:lpstr>Forecast</vt:lpstr>
      <vt:lpstr>BvA</vt:lpstr>
      <vt:lpstr>Tie-Out</vt:lpstr>
      <vt:lpstr>GL_Recon</vt:lpstr>
      <vt:lpstr>Alloc_View</vt:lpstr>
      <vt:lpstr>Decision_Log</vt:lpstr>
      <vt:lpstr>Data_Actuals</vt:lpstr>
      <vt:lpstr>Data_Budget</vt:lpstr>
      <vt:lpstr>Data_KPIs</vt:lpstr>
      <vt:lpstr>GL_Detail</vt:lpstr>
      <vt:lpstr>Forecast_Brief</vt:lpstr>
      <vt:lpstr>Base_FY_Operating_Result</vt:lpstr>
      <vt:lpstr>Bear_FY_Operating_Result</vt:lpstr>
      <vt:lpstr>BTC_Price_Input</vt:lpstr>
      <vt:lpstr>Swing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Shakil Ahmad</cp:lastModifiedBy>
  <cp:revision>0</cp:revision>
  <dcterms:created xsi:type="dcterms:W3CDTF">2026-08-21T20:36:39Z</dcterms:created>
  <dcterms:modified xsi:type="dcterms:W3CDTF">2026-09-03T16:20:07Z</dcterms:modified>
  <dc:language>en-US</dc:language>
</cp:coreProperties>
</file>
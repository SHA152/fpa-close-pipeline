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BvA" sheetId="3" state="visible" r:id="rId5"/>
    <sheet name="Forecast" sheetId="4" state="visible" r:id="rId6"/>
    <sheet name="GL_Recon" sheetId="5" state="visible" r:id="rId7"/>
    <sheet name="Tie-Out" sheetId="6" state="visible" r:id="rId8"/>
    <sheet name="Alloc_View" sheetId="7" state="visible" r:id="rId9"/>
    <sheet name="Decision_Log" sheetId="8" state="visible" r:id="rId10"/>
    <sheet name="Data_Actuals" sheetId="9" state="visible" r:id="rId11"/>
    <sheet name="Data_Budget" sheetId="10" state="visible" r:id="rId12"/>
    <sheet name="Data_KPIs" sheetId="11" state="visible" r:id="rId13"/>
    <sheet name="GL_Detail" sheetId="12" state="visible" r:id="rId14"/>
  </sheets>
  <definedNames>
    <definedName function="false" hidden="false" name="Base_FY_Operating_Result" vbProcedure="false">Forecast!$C$5</definedName>
    <definedName function="false" hidden="false" name="Bear_FY_Operating_Result" vbProcedure="false">Forecast!$C$6</definedName>
    <definedName function="false" hidden="false" name="BTC_Price_Input" vbProcedure="false">Inputs!$C$5</definedName>
    <definedName function="false" hidden="false" name="Swing" vbProcedure="false">Forecast!$C$7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<sst xmlns="http://schemas.openxmlformats.org/spreadsheetml/2006/main" count="679" uniqueCount="441">
  <si>
    <t xml:space="preserve">Blockstream Finance — FP&amp;A Case Study Model</t>
  </si>
  <si>
    <t xml:space="preserve">Prepared by Shakil Ahmad, CFA · Data: fully synthetic case pack ("today" = June 9, 2026, May close done) · All $ in $000s</t>
  </si>
  <si>
    <t xml:space="preserve">START HERE</t>
  </si>
  <si>
    <t xml:space="preserve">Flip Inputs!C5 (BTC price, yellow) — Liquid fee revenue, the treasury mark, and all three scenario cells (Forecast!C5:C7: Base FY Operating Result, Bear FY Operating Result, Swing) recalculate. No BTC price is hardcoded anywhere else; the bear case derives from the same cell via the Inputs!C6 shock.</t>
  </si>
  <si>
    <t xml:space="preserve">TAB GUIDE</t>
  </si>
  <si>
    <t xml:space="preserve">Inputs</t>
  </si>
  <si>
    <t xml:space="preserve">Every assumption and driver. Blue-on-yellow = judgment inputs; black = derived from Jan–May actuals by live formula; green = links to source data.</t>
  </si>
  <si>
    <t xml:space="preserve">BvA</t>
  </si>
  <si>
    <t xml:space="preserve">Segment P&amp;L (contribution margin) to operating profit; May + YTD actual vs budget with $/% variances and materiality flags (≥$50K and ≥10%). Treasury mark shown below operating profit as a reconciling line, with the why.</t>
  </si>
  <si>
    <t xml:space="preserve">Forecast</t>
  </si>
  <si>
    <t xml:space="preserve">Driver-based Jun–Dec, base and bear side by side from the single BTC cell. FY columns splice Jan–May actuals with the forecast.</t>
  </si>
  <si>
    <t xml:space="preserve">GL_Recon</t>
  </si>
  <si>
    <t xml:space="preserve">Five GL accounts reconciled to the reported P&amp;L: one footing break (duplicate invoice), two accounts that foot but are wrong (cut-off, rev-rec), two confirmed clean. Correcting entries, impacts, controls, corrected-May view.</t>
  </si>
  <si>
    <t xml:space="preserve">Tie-Out</t>
  </si>
  <si>
    <t xml:space="preserve">Six reviewer-relevant figures: model cell vs independent recompute from raw data. All rows must read TIE.</t>
  </si>
  <si>
    <t xml:space="preserve">Alloc_View</t>
  </si>
  <si>
    <t xml:space="preserve">Rejected-alternative sensitivity: full OpEx allocation by headcount.</t>
  </si>
  <si>
    <t xml:space="preserve">Decision_Log</t>
  </si>
  <si>
    <t xml:space="preserve">Five modeling decisions with driving cells and priced alternatives.</t>
  </si>
  <si>
    <t xml:space="preserve">Data_* / GL_Detail</t>
  </si>
  <si>
    <t xml:space="preserve">Untouched replicas of the source pack — the only value-typed tabs. Everything else is formulas.</t>
  </si>
  <si>
    <t xml:space="preserve">COLOR LEGEND</t>
  </si>
  <si>
    <t xml:space="preserve">Blue = hardcoded input · Black = formula · Green = cross-sheet link · Yellow fill = key inputs / labeled scenario cells</t>
  </si>
  <si>
    <t xml:space="preserve">SIGN CONVENTION</t>
  </si>
  <si>
    <t xml:space="preserve">Costs shown as positive magnitudes and subtracted in formulas; BTC treasury mark signed (negative = mark-down), as in the source pack.</t>
  </si>
  <si>
    <t xml:space="preserve">Inputs &amp; Drivers — every forecast assumption lives here</t>
  </si>
  <si>
    <t xml:space="preserve">Blue on yellow = judgment inputs (edit these). Black = derived from Jan–May actuals by formula. Green = link to source data. All $ in $000s.</t>
  </si>
  <si>
    <t xml:space="preserve">BTC PRICE SCENARIO — THE cell (flows to Liquid fees, treasury mark, base &amp; bear cases)</t>
  </si>
  <si>
    <t xml:space="preserve">BTC price assumption, Jun–Dec 2026 (flat path)</t>
  </si>
  <si>
    <t xml:space="preserve">Base = May 2026 monthly average (Data_KPIs). Flip this cell — everything recalculates.</t>
  </si>
  <si>
    <t xml:space="preserve">Bear-case shock to the BTC assumption</t>
  </si>
  <si>
    <t xml:space="preserve">Bear price is derived: base cell × (1 + shock). No second BTC price is typed anywhere.</t>
  </si>
  <si>
    <t xml:space="preserve">Bear-case BTC price (derived)</t>
  </si>
  <si>
    <t xml:space="preserve">Corporate BTC treasury holdings (BTC)</t>
  </si>
  <si>
    <t xml:space="preserve">Implied from actuals: monthly MTM ÷ Δ avg BTC price ranges 70–91 BTC (see derivation, rows 30–35). 80 used; stated assumption.</t>
  </si>
  <si>
    <t xml:space="preserve">REVENUE DRIVERS (derived from Jan–May actuals unless blue)</t>
  </si>
  <si>
    <t xml:space="preserve">Jade units — monthly growth Jun–Dec</t>
  </si>
  <si>
    <t xml:space="preserve">Judgment: hold May run-rate (6,190 units) flat. Units fell 20% Jan→May vs a rising budget; the budget ramp is not evidence-based. Decision Log #4.</t>
  </si>
  <si>
    <t xml:space="preserve">Jade ASP ($)</t>
  </si>
  <si>
    <t xml:space="preserve">Constant $80 all five months.</t>
  </si>
  <si>
    <t xml:space="preserve">Store &amp; Accessories as % of Jade revenue</t>
  </si>
  <si>
    <t xml:space="preserve">Stable ~15.3% of Jade revenue Jan–May; attach-rate relationship.</t>
  </si>
  <si>
    <t xml:space="preserve">App &amp; Subscriptions — monthly growth</t>
  </si>
  <si>
    <t xml:space="preserve">CAGR of actuals Jan→May (~3.4%/mo).</t>
  </si>
  <si>
    <t xml:space="preserve">Liquid pegged-in BTC — monthly growth</t>
  </si>
  <si>
    <t xml:space="preserve">CAGR of pegged-in BTC Jan→May (~3.4%/mo).</t>
  </si>
  <si>
    <t xml:space="preserve">Liquid fee yield on TVL (monthly)</t>
  </si>
  <si>
    <t xml:space="preserve">KEY INSIGHT: fees ÷ (pegged-in BTC × avg price) is nearly constant ~0.096%/mo across all 5 months (min–max on row 17). Fee revenue is TVL × yield — this is how the BTC cell reaches an operating line.</t>
  </si>
  <si>
    <t xml:space="preserve">    yield stability check (min | max of 5 months)</t>
  </si>
  <si>
    <t xml:space="preserve">AMP (SaaS) — monthly $ adds</t>
  </si>
  <si>
    <t xml:space="preserve">Linear +$32.5K/mo Jan–May. Reported basis; see GL_Recon for the $132K rev-rec adjustment.</t>
  </si>
  <si>
    <t xml:space="preserve">Enterprise Infra &amp; Licensing — monthly $ adds</t>
  </si>
  <si>
    <t xml:space="preserve">Linear +$16.3K/mo Jan–May.</t>
  </si>
  <si>
    <t xml:space="preserve">COST DRIVERS</t>
  </si>
  <si>
    <t xml:space="preserve">Hardware &amp; Fulfillment COGS, % of (Jade + Store) revenue</t>
  </si>
  <si>
    <t xml:space="preserve">Average of 5 monthly ratios ~61%; excludes App subs (software margin).</t>
  </si>
  <si>
    <t xml:space="preserve">Hosting &amp; Infrastructure COGS, % of Enterprise revenue</t>
  </si>
  <si>
    <t xml:space="preserve">Average of 5 monthly ratios ~14%.</t>
  </si>
  <si>
    <t xml:space="preserve">Personnel R&amp;D — monthly $ adds</t>
  </si>
  <si>
    <t xml:space="preserve">Headcount-driven linear trend (+$31.3K/mo).</t>
  </si>
  <si>
    <t xml:space="preserve">Personnel S&amp;M — monthly $ adds</t>
  </si>
  <si>
    <t xml:space="preserve">+$12.5K/mo.</t>
  </si>
  <si>
    <t xml:space="preserve">Personnel G&amp;A — monthly $ adds</t>
  </si>
  <si>
    <t xml:space="preserve">+$7.5K/mo.</t>
  </si>
  <si>
    <t xml:space="preserve">Cloud &amp; Infrastructure — monthly run-rate Jun–Dec</t>
  </si>
  <si>
    <t xml:space="preserve">Judgment: corrected May run-rate ($480 reported − $30 duplicate, see GL_Recon) held FLAT — not the $305/mo budget. Line is +50% over budget and compounding ~14%/mo; flat-at-run-rate assumes containment, not remediation. Decision Log #5.</t>
  </si>
  <si>
    <t xml:space="preserve">All other OpEx lines, Jun–Dec</t>
  </si>
  <si>
    <t xml:space="preserve">Budget values</t>
  </si>
  <si>
    <t xml:space="preserve">Actuals track budget closely ex-Cloud; budget encodes real seasonality (e.g., $150K Bitcoin 2026 conference in June — the prepaid identified in GL_Recon releases there).</t>
  </si>
  <si>
    <t xml:space="preserve">BTC HOLDINGS DERIVATION (support for the 80 BTC input)</t>
  </si>
  <si>
    <t xml:space="preserve">Implied BTC held = monthly MTM ÷ Δ monthly avg price:</t>
  </si>
  <si>
    <t xml:space="preserve">Feb 2026</t>
  </si>
  <si>
    <t xml:space="preserve">Range ≈ 70–91 BTC. Position size is not disclosed in the pack; 80 BTC is the midpoint assumption and is a single input cell.</t>
  </si>
  <si>
    <t xml:space="preserve">Mar 2026</t>
  </si>
  <si>
    <t xml:space="preserve">Apr 2026</t>
  </si>
  <si>
    <t xml:space="preserve">May 2026</t>
  </si>
  <si>
    <t xml:space="preserve">Materiality threshold for variance flags: greater of ±$50K and ±10% of budget (stated on BvA tab).</t>
  </si>
  <si>
    <t xml:space="preserve">Materiality % component</t>
  </si>
  <si>
    <t xml:space="preserve">Segment P&amp;L — May 2026 and YTD (Jan–May) Actual vs Budget ($000s)</t>
  </si>
  <si>
    <t xml:space="preserve">Materiality flag = |$ var| ≥ $50K AND |% var| ≥ 10% of budget (Inputs!C37:C38). Costs: actual &lt; budget is favorable. Corporate OpEx is deliberately NOT allocated to segments — segments are shown at contribution margin (what their leaders control); see Alloc_View for the fully-allocated sensitivity. Decision Log #1.</t>
  </si>
  <si>
    <t xml:space="preserve">Line ($000s)</t>
  </si>
  <si>
    <t xml:space="preserve">May Actual</t>
  </si>
  <si>
    <t xml:space="preserve">May Budget</t>
  </si>
  <si>
    <t xml:space="preserve">$ Var</t>
  </si>
  <si>
    <t xml:space="preserve">% Var</t>
  </si>
  <si>
    <t xml:space="preserve">Assessment</t>
  </si>
  <si>
    <t xml:space="preserve">YTD Actual</t>
  </si>
  <si>
    <t xml:space="preserve">YTD Budget</t>
  </si>
  <si>
    <t xml:space="preserve">APP &amp; HARDWARE</t>
  </si>
  <si>
    <t xml:space="preserve">    Jade Hardware Wallet</t>
  </si>
  <si>
    <t xml:space="preserve">    Blockstream App &amp; Subscriptions</t>
  </si>
  <si>
    <t xml:space="preserve">    Blockstream Store &amp; Accessories</t>
  </si>
  <si>
    <t xml:space="preserve">A&amp;H Revenue</t>
  </si>
  <si>
    <t xml:space="preserve">    Hardware &amp; Fulfillment</t>
  </si>
  <si>
    <t xml:space="preserve">A&amp;H Contribution Margin</t>
  </si>
  <si>
    <t xml:space="preserve">ENTERPRISE SAAS</t>
  </si>
  <si>
    <t xml:space="preserve">    Liquid Network Fees</t>
  </si>
  <si>
    <t xml:space="preserve">    Blockstream AMP (SaaS)</t>
  </si>
  <si>
    <t xml:space="preserve">    Enterprise Infrastructure &amp; Licensing</t>
  </si>
  <si>
    <t xml:space="preserve">Enterprise Revenue</t>
  </si>
  <si>
    <t xml:space="preserve">    Hosting &amp; Infrastructure</t>
  </si>
  <si>
    <t xml:space="preserve">Enterprise Contribution Margin</t>
  </si>
  <si>
    <t xml:space="preserve">TOTAL COMPANY</t>
  </si>
  <si>
    <t xml:space="preserve">Total Revenue</t>
  </si>
  <si>
    <t xml:space="preserve">Total COGS</t>
  </si>
  <si>
    <t xml:space="preserve">Gross Profit</t>
  </si>
  <si>
    <t xml:space="preserve">CORPORATE OPEX (unallocated)</t>
  </si>
  <si>
    <t xml:space="preserve">    Personnel - R&amp;D / Engineering</t>
  </si>
  <si>
    <t xml:space="preserve">    Personnel - Sales &amp; Marketing</t>
  </si>
  <si>
    <t xml:space="preserve">    Personnel - G&amp;A</t>
  </si>
  <si>
    <t xml:space="preserve">    Cloud &amp; Infrastructure</t>
  </si>
  <si>
    <t xml:space="preserve">    Marketing Programs</t>
  </si>
  <si>
    <t xml:space="preserve">    Travel &amp; Events</t>
  </si>
  <si>
    <t xml:space="preserve">    Professional Services</t>
  </si>
  <si>
    <t xml:space="preserve">    Software &amp; Tools</t>
  </si>
  <si>
    <t xml:space="preserve">    Facilities</t>
  </si>
  <si>
    <t xml:space="preserve">    Other OpEx</t>
  </si>
  <si>
    <t xml:space="preserve">Total OpEx</t>
  </si>
  <si>
    <t xml:space="preserve">Operating Profit (before treasury)</t>
  </si>
  <si>
    <t xml:space="preserve">    BTC Treasury Mark-to-Market</t>
  </si>
  <si>
    <t xml:space="preserve">Net Result incl. treasury mark</t>
  </si>
  <si>
    <t xml:space="preserve">Why the treasury mark cannot sit inside a % variance read: it is budgeted at $0 every month by design, so any actual mark produces an undefined (÷0) or meaningless percentage — and in up-months it flatters the total. It is therefore shown as a separate reconciling line BELOW operating profit; operating variances above are clean of it.</t>
  </si>
  <si>
    <t xml:space="preserve">Driver-Based Forecast Jun–Dec 2026 — Base &amp; Bear side by side ($000s)</t>
  </si>
  <si>
    <t xml:space="preserve">Both cases are driven ONLY by Inputs!C5 (BTC price) — bear applies the Inputs!C6 shock to that same cell. No BTC price is hardcoded on this tab. Flip Inputs!C5 and every number below recalculates. Bear isolates the BTC-price factor: operating volumes held at base to show pure price transmission (fees + treasury); volume elasticity would compound it further.</t>
  </si>
  <si>
    <t xml:space="preserve">SCENARIO SUMMARY (labeled cells the reviewer asked for)</t>
  </si>
  <si>
    <t xml:space="preserve">Base FY Operating Result</t>
  </si>
  <si>
    <t xml:space="preserve">FY2026 operating profit before treasury mark: Jan–May actuals + Jun–Dec forecast. Treasury-inclusive views on rows below the P&amp;L.</t>
  </si>
  <si>
    <t xml:space="preserve">Bear FY Operating Result</t>
  </si>
  <si>
    <t xml:space="preserve">Swing (Base − Bear)</t>
  </si>
  <si>
    <t xml:space="preserve">Memo: FY Net incl. treasury — Base | Bear</t>
  </si>
  <si>
    <t xml:space="preserve">DRIVER GRID</t>
  </si>
  <si>
    <t xml:space="preserve">Driver</t>
  </si>
  <si>
    <t xml:space="preserve">Jun (Base)</t>
  </si>
  <si>
    <t xml:space="preserve">Jul (Base)</t>
  </si>
  <si>
    <t xml:space="preserve">Aug (Base)</t>
  </si>
  <si>
    <t xml:space="preserve">Sep (Base)</t>
  </si>
  <si>
    <t xml:space="preserve">Oct (Base)</t>
  </si>
  <si>
    <t xml:space="preserve">Nov (Base)</t>
  </si>
  <si>
    <t xml:space="preserve">Dec (Base)</t>
  </si>
  <si>
    <t xml:space="preserve">FY Base</t>
  </si>
  <si>
    <t xml:space="preserve">Jun (Bear)</t>
  </si>
  <si>
    <t xml:space="preserve">Jul (Bear)</t>
  </si>
  <si>
    <t xml:space="preserve">Aug (Bear)</t>
  </si>
  <si>
    <t xml:space="preserve">Sep (Bear)</t>
  </si>
  <si>
    <t xml:space="preserve">Oct (Bear)</t>
  </si>
  <si>
    <t xml:space="preserve">Nov (Bear)</t>
  </si>
  <si>
    <t xml:space="preserve">Dec (Bear)</t>
  </si>
  <si>
    <t xml:space="preserve">FY Bear</t>
  </si>
  <si>
    <t xml:space="preserve">BTC price ($)</t>
  </si>
  <si>
    <t xml:space="preserve">Liquid pegged-in BTC</t>
  </si>
  <si>
    <t xml:space="preserve">Jade units</t>
  </si>
  <si>
    <t xml:space="preserve">P&amp;L ($000s)</t>
  </si>
  <si>
    <t xml:space="preserve">Jade Hardware Wallet</t>
  </si>
  <si>
    <t xml:space="preserve">Blockstream App &amp; Subscriptions</t>
  </si>
  <si>
    <t xml:space="preserve">Blockstream Store &amp; Accessories</t>
  </si>
  <si>
    <t xml:space="preserve">Liquid Network Fees</t>
  </si>
  <si>
    <t xml:space="preserve">Blockstream AMP (SaaS)</t>
  </si>
  <si>
    <t xml:space="preserve">Enterprise Infrastructure &amp; Licensing</t>
  </si>
  <si>
    <t xml:space="preserve">Hardware &amp; Fulfillment COGS</t>
  </si>
  <si>
    <t xml:space="preserve">Hosting &amp; Infrastructure COGS</t>
  </si>
  <si>
    <t xml:space="preserve">Personnel - R&amp;D / Engineering</t>
  </si>
  <si>
    <t xml:space="preserve">Personnel - Sales &amp; Marketing</t>
  </si>
  <si>
    <t xml:space="preserve">Personnel - G&amp;A</t>
  </si>
  <si>
    <t xml:space="preserve">Cloud &amp; Infrastructure</t>
  </si>
  <si>
    <t xml:space="preserve">Marketing Programs</t>
  </si>
  <si>
    <t xml:space="preserve">Travel &amp; Events</t>
  </si>
  <si>
    <t xml:space="preserve">Professional Services</t>
  </si>
  <si>
    <t xml:space="preserve">Software &amp; Tools</t>
  </si>
  <si>
    <t xml:space="preserve">Facilities</t>
  </si>
  <si>
    <t xml:space="preserve">Other OpEx</t>
  </si>
  <si>
    <t xml:space="preserve">BTC Treasury Mark-to-Market</t>
  </si>
  <si>
    <t xml:space="preserve">Net Result incl. treasury</t>
  </si>
  <si>
    <t xml:space="preserve">Treasury mark: recognized in June as (scenario price − May avg price) × holdings, then held flat (flat price path ⇒ no further marks). Jan–May actual marks are included in the FY columns.</t>
  </si>
  <si>
    <t xml:space="preserve">NetSuite GL → Reported May P&amp;L Reconciliation (the human-in-the-loop control)</t>
  </si>
  <si>
    <t xml:space="preserve">Five accounts. Step 1: foot the GL to the reported figure. Step 2: read the support (dates, terms, invoice refs, counterparties) — two accounts foot cleanly but contain entries recognized in the wrong period or incorrectly. All $000s. GL totals are live SUMIFS on GL_Detail; reported figures are links to Data_Actuals.</t>
  </si>
  <si>
    <t xml:space="preserve">Account</t>
  </si>
  <si>
    <t xml:space="preserve">GL total (SUMIFS)</t>
  </si>
  <si>
    <t xml:space="preserve">Reported May P&amp;L</t>
  </si>
  <si>
    <t xml:space="preserve">Footing diff</t>
  </si>
  <si>
    <t xml:space="preserve">Foots?</t>
  </si>
  <si>
    <t xml:space="preserve">Substance finding after reading support</t>
  </si>
  <si>
    <t xml:space="preserve">DOES NOT FOOT — duplicate invoice (JE-1147). See Issue 1.</t>
  </si>
  <si>
    <t xml:space="preserve">Foots, but $150K belongs in June — cut-off error (JE-1203). See Issue 2.</t>
  </si>
  <si>
    <t xml:space="preserve">Foots, but $132K recognized before the service period — rev-rec error (JE-1305). See Issue 3.</t>
  </si>
  <si>
    <t xml:space="preserve">CLEAN. Four entries incl. a proper May audit accrual (ACCR-AUDIT-MAY); recruiting fee correctly expensed. No exception.</t>
  </si>
  <si>
    <t xml:space="preserve">CLEAN. Five routine monthly SaaS invoices, all dated and described as May service periods. No exception.</t>
  </si>
  <si>
    <t xml:space="preserve">THE THREE ISSUES — evidence, correcting entry, impact, control</t>
  </si>
  <si>
    <t xml:space="preserve">Issue 1 — Duplicate invoice: Cloud &amp; Infrastructure, $30K</t>
  </si>
  <si>
    <t xml:space="preserve">What is wrong</t>
  </si>
  <si>
    <t xml:space="preserve">JE-1147 (28-May) duplicates JE-1119 (12-May): identical vendor (MongoDB Atlas), identical invoice ref INV-MDB-771, identical amount ($30K), identical description. The GL foots to $510K vs $480K reported — the reporting layer already excludes it, so the ledger, not the P&amp;L, is wrong.</t>
  </si>
  <si>
    <t xml:space="preserve">Evidence</t>
  </si>
  <si>
    <t xml:space="preserve">Same Invoice_Ref appearing twice in the export (GL_Detail rows 9 &amp; 12 of the Cloud block); same amount and description; dates 16 days apart.</t>
  </si>
  <si>
    <t xml:space="preserve">Correcting entry</t>
  </si>
  <si>
    <t xml:space="preserve">Dr Accounts Payable 30 / Cr Cloud &amp; Infrastructure expense 30 — reverses the second posting. Balance-sheet offset: AP (the duplicate payable must be voided before payment run).</t>
  </si>
  <si>
    <t xml:space="preserve">Impact on reported May</t>
  </si>
  <si>
    <t xml:space="preserve">None — reported $480K is correct. The control failure is in the ledger and would have become a duplicate PAYMENT.</t>
  </si>
  <si>
    <t xml:space="preserve">Control that should have caught it</t>
  </si>
  <si>
    <t xml:space="preserve">Duplicate-invoice detection on (vendor, invoice number, amount) at AP entry; three-way match before payment.</t>
  </si>
  <si>
    <t xml:space="preserve">Issue 2 — Cut-off / prepaid: Travel &amp; Events, $150K</t>
  </si>
  <si>
    <t xml:space="preserve">JE-1203 expenses the $150K Bitcoin 2026 Conference sponsorship in May, but the description states the event runs Jun 10–12, 2026. A cost of a future event is a prepaid asset until the service period. The account foots ($175K = $175K) — only reading the support catches it.</t>
  </si>
  <si>
    <t xml:space="preserve">JE-1203 description: "event dates Jun 10-12 2026"; the FY26 budget itself places $150K of T&amp;E in June, confirming intended period.</t>
  </si>
  <si>
    <t xml:space="preserve">Dr Prepaid Expenses 150 / Cr Travel &amp; Events 150 in May; releases as Dr T&amp;E / Cr Prepaid 150 in June. Balance-sheet offset: Prepaid Expenses.</t>
  </si>
  <si>
    <t xml:space="preserve">May T&amp;E falls $175K → $25K; May operating profit improves +$150K. The scary May T&amp;E variance ($175K actual vs $80K budget) largely disappears — it was a timing error, not overspend.</t>
  </si>
  <si>
    <t xml:space="preserve">Control</t>
  </si>
  <si>
    <t xml:space="preserve">Cut-off review at close: match expense recognition to service dates for events/sponsorships; prepaid checklist for invoices referencing future dates.</t>
  </si>
  <si>
    <t xml:space="preserve">Issue 3 — Revenue recognition: Blockstream AMP (SaaS), $132K</t>
  </si>
  <si>
    <t xml:space="preserve">JE-1305 books the full $132K annual AMP license (Meridian Assets, term Jun 2026 – May 2027, billed upfront) as May revenue. The service period has not begun; under ASC 606 the performance obligation is satisfied ratably over the term. The account foots ($1,380K = $1,380K) — again only the support reveals it.</t>
  </si>
  <si>
    <t xml:space="preserve">JE-1305 description: "12-mo term Jun 2026 to May 2027 - billed upfront"; invoice INV-AMP-5567 dated 22-May.</t>
  </si>
  <si>
    <t xml:space="preserve">Dr AMP Revenue 132 / Cr Deferred Revenue 132 in May; recognize $11K/mo Jun 2026 – May 2027. Balance-sheet offset: Deferred Revenue (contract liability).</t>
  </si>
  <si>
    <t xml:space="preserve">AMP revenue $1,380K → $1,248K; May revenue and operating profit each fall $132K. Corrected AMP is now $142K BELOW its $1,390K budget — the reported "on-plan" AMP month was manufactured by early recognition. Jun–Dec forecast gains $11K/mo (+$77K) of ratable release.</t>
  </si>
  <si>
    <t xml:space="preserve">Revenue-recognition review of all upfront-billed annual contracts at close; deferral schedule reconciled to billing system; contract-term field mandatory on revenue JEs.</t>
  </si>
  <si>
    <t xml:space="preserve">CORRECTED MAY VIEW (net effect of Issues 1–3 on reported results)</t>
  </si>
  <si>
    <t xml:space="preserve">Reported May operating profit (BvA!B35)</t>
  </si>
  <si>
    <t xml:space="preserve">Issue 2: remove June conference cost from May OpEx</t>
  </si>
  <si>
    <t xml:space="preserve">Issue 3: defer unearned AMP revenue</t>
  </si>
  <si>
    <t xml:space="preserve">Issue 1: no P&amp;L impact (ledger-side fix)</t>
  </si>
  <si>
    <t xml:space="preserve">Corrected May operating profit</t>
  </si>
  <si>
    <t xml:space="preserve">Net: corrected May operating profit is $18K better than reported, but the composition changes — revenue is $132K worse (a real AMP miss) and OpEx $150K better (timing). Composition matters more than the net.</t>
  </si>
  <si>
    <t xml:space="preserve">Tie-Out — six reviewer-relevant figures reconciled to exact source cells</t>
  </si>
  <si>
    <t xml:space="preserve">Column C pulls the figure from the model cell named in column B. Column D recomputes it independently from the raw data tabs. Column F must read TIE on every row before the pack ships. All $000s.</t>
  </si>
  <si>
    <t xml:space="preserve">Figure</t>
  </si>
  <si>
    <t xml:space="preserve">Model cell</t>
  </si>
  <si>
    <t xml:space="preserve">Model value</t>
  </si>
  <si>
    <t xml:space="preserve">Independent recompute from raw data</t>
  </si>
  <si>
    <t xml:space="preserve">Delta</t>
  </si>
  <si>
    <t xml:space="preserve">Status</t>
  </si>
  <si>
    <t xml:space="preserve">May 2026 Total Revenue</t>
  </si>
  <si>
    <t xml:space="preserve">BvA!B20</t>
  </si>
  <si>
    <t xml:space="preserve">May 2026 Operating Profit (before treasury)</t>
  </si>
  <si>
    <t xml:space="preserve">BvA!B35</t>
  </si>
  <si>
    <t xml:space="preserve">YTD (Jan–May) Operating Profit (before treasury)</t>
  </si>
  <si>
    <t xml:space="preserve">BvA!G35</t>
  </si>
  <si>
    <t xml:space="preserve">YTD BTC Treasury Mark-to-Market</t>
  </si>
  <si>
    <t xml:space="preserve">BvA!G36</t>
  </si>
  <si>
    <t xml:space="preserve">May GL total — Blockstream AMP (SaaS) vs reported</t>
  </si>
  <si>
    <t xml:space="preserve">GL_Recon!B7</t>
  </si>
  <si>
    <t xml:space="preserve">Base FY Operating Result (scenario cell)</t>
  </si>
  <si>
    <t xml:space="preserve">Forecast!C5</t>
  </si>
  <si>
    <t xml:space="preserve">Row 5 note: the AMP GL total ties to the reported P&amp;L — completeness is proven — while GL_Recon Issue 3 shows $132K of it is recognized in the wrong period. Footing and correctness are different tests; this pack runs both.</t>
  </si>
  <si>
    <t xml:space="preserve">Bear FY Operating Result and Swing (Forecast!C6, Forecast!C7) derive from the same driver grid as row 10 and recalculate on any flip of Inputs!C5 / C6.</t>
  </si>
  <si>
    <t xml:space="preserve">Sensitivity: May segment view with Corporate OpEx fully allocated by direct headcount</t>
  </si>
  <si>
    <t xml:space="preserve">Shown to make the rejected alternative concrete (Decision Log #1). Allocation key: direct segment headcount (Data_KPIs May: A&amp;H 67, Enterprise 110); Shared/G&amp;A headcount excluded from the key. Every allocated dollar is a policy choice, not a performance fact — which is why the primary BvA view stops at contribution margin.</t>
  </si>
  <si>
    <t xml:space="preserve">App &amp; Hardware</t>
  </si>
  <si>
    <t xml:space="preserve">Enterprise SaaS</t>
  </si>
  <si>
    <t xml:space="preserve">Total</t>
  </si>
  <si>
    <t xml:space="preserve">Headcount share of allocation key</t>
  </si>
  <si>
    <t xml:space="preserve">May contribution margin (BvA)</t>
  </si>
  <si>
    <t xml:space="preserve">Allocated Corporate OpEx</t>
  </si>
  <si>
    <t xml:space="preserve">May segment operating profit (fully allocated)</t>
  </si>
  <si>
    <t xml:space="preserve">Read: under full allocation BOTH segments show operating losses in May — an artifact of pushing ~$1.7M of R&amp;D (much of it long-horizon protocol work) onto current-period segment P&amp;Ls. It answers "what does each segment cost all-in" but not "which segment is performing," which is the monthly-reporting question.</t>
  </si>
  <si>
    <t xml:space="preserve">Decision Log (5 rows) — modeling choices, driving cell, rejected alternative with its number</t>
  </si>
  <si>
    <t xml:space="preserve">#</t>
  </si>
  <si>
    <t xml:space="preserve">Decision</t>
  </si>
  <si>
    <t xml:space="preserve">Tab!Cell that drove it</t>
  </si>
  <si>
    <t xml:space="preserve">Alternative rejected — with its own number</t>
  </si>
  <si>
    <t xml:space="preserve">Why</t>
  </si>
  <si>
    <t xml:space="preserve">1</t>
  </si>
  <si>
    <t xml:space="preserve">Corporate OpEx NOT allocated to segments; primary view = segment contribution margin, one company operating profit.</t>
  </si>
  <si>
    <t xml:space="preserve">BvA!B34 (Corporate OpEx, unallocated)</t>
  </si>
  <si>
    <t xml:space="preserve">Full headcount-based allocation: both segments post May operating losses (A&amp;H ≈ Alloc_View!B8, Enterprise ≈ Alloc_View!C8).</t>
  </si>
  <si>
    <t xml:space="preserve">Allocation keys are policy, not performance; contribution margin is what segment leaders control. Sensitivity kept on Alloc_View so the all-in cost question stays answerable.</t>
  </si>
  <si>
    <t xml:space="preserve">2</t>
  </si>
  <si>
    <t xml:space="preserve">Liquid fee revenue forecast = pegged-in BTC × BTC price × derived fee yield (~0.096%/mo of TVL).</t>
  </si>
  <si>
    <t xml:space="preserve">Inputs!C16 (yield, derived from 5 months of actuals)</t>
  </si>
  <si>
    <t xml:space="preserve">Budget growth path: FY26 Liquid fees of $5,430 (sum of Data_Budget row 8) regardless of BTC price.</t>
  </si>
  <si>
    <t xml:space="preserve">Actual yield is nearly constant across Jan–May (Inputs!C17 min/max), so fees are structurally TVL-linked; a BTC-insensitive fee forecast contradicts five months of evidence and severs the BTC cell from the operating P&amp;L.</t>
  </si>
  <si>
    <t xml:space="preserve">3</t>
  </si>
  <si>
    <t xml:space="preserve">Single flat BTC price path from one input cell; treasury mark recognized once in June; bear = same cell × (1 + shock).</t>
  </si>
  <si>
    <t xml:space="preserve">Inputs!C5 (price), Inputs!C6 (shock), Inputs!C8 (80 BTC holdings)</t>
  </si>
  <si>
    <t xml:space="preserve">Monthly price-path table (12 cells): adds ±$0 of information to FY operating result while breaking the one-cell-flip requirement.</t>
  </si>
  <si>
    <t xml:space="preserve">The brief requires one labeled input cell that the reviewer can flip; a flat path keeps every downstream formula honest and auditable. Holdings inferred from actual MTM ÷ Δprice (70–91 BTC, Inputs rows 32–35).</t>
  </si>
  <si>
    <t xml:space="preserve">4</t>
  </si>
  <si>
    <t xml:space="preserve">Jade base case = May run-rate (6,190 units) held flat, not the budget ramp.</t>
  </si>
  <si>
    <t xml:space="preserve">Inputs!C11 (0% monthly growth)</t>
  </si>
  <si>
    <t xml:space="preserve">Budget path: Jun–Dec Jade revenue of $5,120 (sum of Data_Budget row 5, Jun–Dec) — ~$1,655 above the flat-run-rate forecast.</t>
  </si>
  <si>
    <t xml:space="preserve">Units fell 20% Jan→May against a rising budget while consumer CAC rose 38→47 (+24%); ASP is pinned at $80. Forecasting the budget ramp would restate hope as a plan.</t>
  </si>
  <si>
    <t xml:space="preserve">5</t>
  </si>
  <si>
    <t xml:space="preserve">Cloud &amp; Infrastructure OpEx held at corrected $450/mo (May $480 − $30 duplicate), not budget.</t>
  </si>
  <si>
    <t xml:space="preserve">Inputs!C27</t>
  </si>
  <si>
    <t xml:space="preserve">Budget path: $2,235 total Jun–Dec (Data_Budget row 17) — $915 lower than flat-at-run-rate, with zero evidence of remediation.</t>
  </si>
  <si>
    <t xml:space="preserve">The line is +50% over budget and has compounded ~14%/mo for five months; flat-at-run-rate already embeds an optimistic "containment" assumption. Flagged as the first cost-review target in the cover note.</t>
  </si>
  <si>
    <t xml:space="preserve">Data_Actuals — source data as provided in the data pack (values, $000s unless stated)</t>
  </si>
  <si>
    <t xml:space="preserve">Untouched replica of "P&amp;L Actuals". All downstream tabs reference these cells — no retyped numbers.</t>
  </si>
  <si>
    <t xml:space="preserve">Segment</t>
  </si>
  <si>
    <t xml:space="preserve">Category</t>
  </si>
  <si>
    <t xml:space="preserve">Line_Item</t>
  </si>
  <si>
    <t xml:space="preserve">Jan_2026</t>
  </si>
  <si>
    <t xml:space="preserve">Feb_2026</t>
  </si>
  <si>
    <t xml:space="preserve">Mar_2026</t>
  </si>
  <si>
    <t xml:space="preserve">Apr_2026</t>
  </si>
  <si>
    <t xml:space="preserve">May_2026</t>
  </si>
  <si>
    <t xml:space="preserve">Revenue</t>
  </si>
  <si>
    <t xml:space="preserve">Corporate</t>
  </si>
  <si>
    <t xml:space="preserve">Other Income</t>
  </si>
  <si>
    <t xml:space="preserve">COGS</t>
  </si>
  <si>
    <t xml:space="preserve">Hardware &amp; Fulfillment</t>
  </si>
  <si>
    <t xml:space="preserve">Hosting &amp; Infrastructure</t>
  </si>
  <si>
    <t xml:space="preserve">OpEx</t>
  </si>
  <si>
    <t xml:space="preserve">Data_Budget — source data as provided in the data pack (values, $000s unless stated)</t>
  </si>
  <si>
    <t xml:space="preserve">Untouched replica of "P&amp;L Budget". BTC Treasury Mark-to-Market budgeted at 0 by design.</t>
  </si>
  <si>
    <t xml:space="preserve">Jun_2026</t>
  </si>
  <si>
    <t xml:space="preserve">Jul_2026</t>
  </si>
  <si>
    <t xml:space="preserve">Aug_2026</t>
  </si>
  <si>
    <t xml:space="preserve">Sep_2026</t>
  </si>
  <si>
    <t xml:space="preserve">Oct_2026</t>
  </si>
  <si>
    <t xml:space="preserve">Nov_2026</t>
  </si>
  <si>
    <t xml:space="preserve">Dec_2026</t>
  </si>
  <si>
    <t xml:space="preserve">Data_KPIs — source data as provided in the data pack (values, $000s unless stated)</t>
  </si>
  <si>
    <t xml:space="preserve">Untouched replica of "KPIs".</t>
  </si>
  <si>
    <t xml:space="preserve">Metric</t>
  </si>
  <si>
    <t xml:space="preserve">Unit</t>
  </si>
  <si>
    <t xml:space="preserve">BTC Spot Price (avg)</t>
  </si>
  <si>
    <t xml:space="preserve">$</t>
  </si>
  <si>
    <t xml:space="preserve">Jade Units Sold</t>
  </si>
  <si>
    <t xml:space="preserve">Jade ASP</t>
  </si>
  <si>
    <t xml:space="preserve">App Active Wallets</t>
  </si>
  <si>
    <t xml:space="preserve">000s</t>
  </si>
  <si>
    <t xml:space="preserve">Liquid Network BTC Pegged-In</t>
  </si>
  <si>
    <t xml:space="preserve">BTC</t>
  </si>
  <si>
    <t xml:space="preserve">AMP Active Issuers</t>
  </si>
  <si>
    <t xml:space="preserve">AMP Assets Under Tokenization</t>
  </si>
  <si>
    <t xml:space="preserve">$M</t>
  </si>
  <si>
    <t xml:space="preserve">Enterprise ARR</t>
  </si>
  <si>
    <t xml:space="preserve">Net Revenue Retention</t>
  </si>
  <si>
    <t xml:space="preserve">%</t>
  </si>
  <si>
    <t xml:space="preserve">New Enterprise Logos</t>
  </si>
  <si>
    <t xml:space="preserve">Total Headcount</t>
  </si>
  <si>
    <t xml:space="preserve">Headcount - App &amp; Hardware</t>
  </si>
  <si>
    <t xml:space="preserve">Headcount - Enterprise</t>
  </si>
  <si>
    <t xml:space="preserve">Headcount - Shared/G&amp;A</t>
  </si>
  <si>
    <t xml:space="preserve">Customer Acquisition Cost - Consumer</t>
  </si>
  <si>
    <t xml:space="preserve">GL_Detail — source data as provided in the data pack (values, $000s unless stated)</t>
  </si>
  <si>
    <t xml:space="preserve">Untouched replica of "NetSuite GL Detail" — five accounts, May 2026, journal-entry level.</t>
  </si>
  <si>
    <t xml:space="preserve">Date</t>
  </si>
  <si>
    <t xml:space="preserve">JE_ID</t>
  </si>
  <si>
    <t xml:space="preserve">Counterparty</t>
  </si>
  <si>
    <t xml:space="preserve">Invoice_Ref</t>
  </si>
  <si>
    <t xml:space="preserve">Description</t>
  </si>
  <si>
    <t xml:space="preserve">Amount_000s</t>
  </si>
  <si>
    <t xml:space="preserve">2026-05-05</t>
  </si>
  <si>
    <t xml:space="preserve">JE-1101</t>
  </si>
  <si>
    <t xml:space="preserve">Google Cloud</t>
  </si>
  <si>
    <t xml:space="preserve">INV-GCP-0453</t>
  </si>
  <si>
    <t xml:space="preserve">GCP compute &amp; storage - May 2026 usage</t>
  </si>
  <si>
    <t xml:space="preserve">2026-05-06</t>
  </si>
  <si>
    <t xml:space="preserve">JE-1108</t>
  </si>
  <si>
    <t xml:space="preserve">Amazon Web Services</t>
  </si>
  <si>
    <t xml:space="preserve">INV-AWS-2261</t>
  </si>
  <si>
    <t xml:space="preserve">AWS - Liquid node infrastructure - May 2026</t>
  </si>
  <si>
    <t xml:space="preserve">2026-05-07</t>
  </si>
  <si>
    <t xml:space="preserve">JE-1112</t>
  </si>
  <si>
    <t xml:space="preserve">Cloudflare</t>
  </si>
  <si>
    <t xml:space="preserve">INV-CF-0912</t>
  </si>
  <si>
    <t xml:space="preserve">CDN &amp; DDoS protection - May 2026</t>
  </si>
  <si>
    <t xml:space="preserve">2026-05-09</t>
  </si>
  <si>
    <t xml:space="preserve">JE-1115</t>
  </si>
  <si>
    <t xml:space="preserve">Datadog</t>
  </si>
  <si>
    <t xml:space="preserve">INV-DD-3390</t>
  </si>
  <si>
    <t xml:space="preserve">Observability &amp; monitoring - May 2026</t>
  </si>
  <si>
    <t xml:space="preserve">2026-05-12</t>
  </si>
  <si>
    <t xml:space="preserve">JE-1119</t>
  </si>
  <si>
    <t xml:space="preserve">MongoDB Atlas</t>
  </si>
  <si>
    <t xml:space="preserve">INV-MDB-771</t>
  </si>
  <si>
    <t xml:space="preserve">Managed database cluster - May 2026</t>
  </si>
  <si>
    <t xml:space="preserve">2026-05-14</t>
  </si>
  <si>
    <t xml:space="preserve">JE-1122</t>
  </si>
  <si>
    <t xml:space="preserve">INV-GCP-0461</t>
  </si>
  <si>
    <t xml:space="preserve">GKE support plan renewal - May 2026</t>
  </si>
  <si>
    <t xml:space="preserve">2026-05-20</t>
  </si>
  <si>
    <t xml:space="preserve">JE-1124</t>
  </si>
  <si>
    <t xml:space="preserve">INV-GCP-0466</t>
  </si>
  <si>
    <t xml:space="preserve">Bandwidth &amp; egress - May 2026</t>
  </si>
  <si>
    <t xml:space="preserve">2026-05-28</t>
  </si>
  <si>
    <t xml:space="preserve">JE-1147</t>
  </si>
  <si>
    <t xml:space="preserve">2026-05-04</t>
  </si>
  <si>
    <t xml:space="preserve">JE-1201</t>
  </si>
  <si>
    <t xml:space="preserve">Various</t>
  </si>
  <si>
    <t xml:space="preserve">EXP-OFFSITE-Q2</t>
  </si>
  <si>
    <t xml:space="preserve">Team offsite lodging &amp; airfare - May 2026</t>
  </si>
  <si>
    <t xml:space="preserve">2026-05-18</t>
  </si>
  <si>
    <t xml:space="preserve">JE-1202</t>
  </si>
  <si>
    <t xml:space="preserve">EXP-SALES-MAY</t>
  </si>
  <si>
    <t xml:space="preserve">Sales team travel - May 2026</t>
  </si>
  <si>
    <t xml:space="preserve">2026-05-03</t>
  </si>
  <si>
    <t xml:space="preserve">JE-1203</t>
  </si>
  <si>
    <t xml:space="preserve">Bitcoin Conference LLC</t>
  </si>
  <si>
    <t xml:space="preserve">INV-BTC26-SPON</t>
  </si>
  <si>
    <t xml:space="preserve">Bitcoin 2026 Conference sponsorship - event dates Jun 10-12 2026</t>
  </si>
  <si>
    <t xml:space="preserve">2026-05-31</t>
  </si>
  <si>
    <t xml:space="preserve">JE-1300</t>
  </si>
  <si>
    <t xml:space="preserve">Multiple issuers</t>
  </si>
  <si>
    <t xml:space="preserve">BATCH-AMP-MAY</t>
  </si>
  <si>
    <t xml:space="preserve">AMP monthly platform subscriptions - May 2026</t>
  </si>
  <si>
    <t xml:space="preserve">JE-1302</t>
  </si>
  <si>
    <t xml:space="preserve">BATCH-AMP-USAGE</t>
  </si>
  <si>
    <t xml:space="preserve">AMP usage &amp; overage fees - May 2026</t>
  </si>
  <si>
    <t xml:space="preserve">2026-05-22</t>
  </si>
  <si>
    <t xml:space="preserve">JE-1305</t>
  </si>
  <si>
    <t xml:space="preserve">Meridian Assets</t>
  </si>
  <si>
    <t xml:space="preserve">INV-AMP-5567</t>
  </si>
  <si>
    <t xml:space="preserve">Annual AMP platform license - 12-mo term Jun 2026 to May 2027 - billed upfront</t>
  </si>
  <si>
    <t xml:space="preserve">2026-05-10</t>
  </si>
  <si>
    <t xml:space="preserve">JE-1230</t>
  </si>
  <si>
    <t xml:space="preserve">Cooley LLP</t>
  </si>
  <si>
    <t xml:space="preserve">INV-COOL-889</t>
  </si>
  <si>
    <t xml:space="preserve">Legal - corporate &amp; commercial - May 2026</t>
  </si>
  <si>
    <t xml:space="preserve">JE-1231</t>
  </si>
  <si>
    <t xml:space="preserve">Grant Thornton</t>
  </si>
  <si>
    <t xml:space="preserve">ACCR-AUDIT-MAY</t>
  </si>
  <si>
    <t xml:space="preserve">Audit fee accrual - May 2026</t>
  </si>
  <si>
    <t xml:space="preserve">2026-05-15</t>
  </si>
  <si>
    <t xml:space="preserve">JE-1233</t>
  </si>
  <si>
    <t xml:space="preserve">KPMG</t>
  </si>
  <si>
    <t xml:space="preserve">INV-KPMG-142</t>
  </si>
  <si>
    <t xml:space="preserve">Tax advisory - May 2026</t>
  </si>
  <si>
    <t xml:space="preserve">2026-05-19</t>
  </si>
  <si>
    <t xml:space="preserve">JE-1235</t>
  </si>
  <si>
    <t xml:space="preserve">Riviera Partners</t>
  </si>
  <si>
    <t xml:space="preserve">INV-REC-556</t>
  </si>
  <si>
    <t xml:space="preserve">Retained search - engineering leadership</t>
  </si>
  <si>
    <t xml:space="preserve">2026-05-02</t>
  </si>
  <si>
    <t xml:space="preserve">JE-1240</t>
  </si>
  <si>
    <t xml:space="preserve">GitLab</t>
  </si>
  <si>
    <t xml:space="preserve">INV-GL-7781</t>
  </si>
  <si>
    <t xml:space="preserve">Developer seats - May 2026</t>
  </si>
  <si>
    <t xml:space="preserve">JE-1241</t>
  </si>
  <si>
    <t xml:space="preserve">Atlassian</t>
  </si>
  <si>
    <t xml:space="preserve">INV-ATL-3320</t>
  </si>
  <si>
    <t xml:space="preserve">Jira &amp; Confluence - May 2026</t>
  </si>
  <si>
    <t xml:space="preserve">JE-1242</t>
  </si>
  <si>
    <t xml:space="preserve">Figma</t>
  </si>
  <si>
    <t xml:space="preserve">INV-FIG-1190</t>
  </si>
  <si>
    <t xml:space="preserve">Design seats - May 2026</t>
  </si>
  <si>
    <t xml:space="preserve">JE-1243</t>
  </si>
  <si>
    <t xml:space="preserve">Salesforce</t>
  </si>
  <si>
    <t xml:space="preserve">INV-SF-9902</t>
  </si>
  <si>
    <t xml:space="preserve">CRM - May 2026</t>
  </si>
  <si>
    <t xml:space="preserve">JE-1244</t>
  </si>
  <si>
    <t xml:space="preserve">Notion + misc</t>
  </si>
  <si>
    <t xml:space="preserve">INV-MISC-0501</t>
  </si>
  <si>
    <t xml:space="preserve">Misc SaaS subscriptions - May 2026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</si>
</sst>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#,##0"/>
    <numFmt numFmtId="168" formatCode="0.00%"/>
    <numFmt numFmtId="169" formatCode="#,##0.0;\(#,##0.0\);\-"/>
    <numFmt numFmtId="170" formatCode="#,##0;\(#,##0\);\-"/>
    <numFmt numFmtId="171" formatCode="#,##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A1A1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4292F"/>
        <bgColor rgb="FF1A1A1A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6F4EA"/>
      </patternFill>
    </fill>
    <fill>
      <patternFill patternType="solid">
        <fgColor rgb="FFF2F2F2"/>
        <bgColor rgb="FFE6F4EA"/>
      </patternFill>
    </fill>
    <fill>
      <patternFill patternType="solid">
        <fgColor rgb="FFFCE4E4"/>
        <bgColor rgb="FFF2F2F2"/>
      </patternFill>
    </fill>
    <fill>
      <patternFill patternType="solid">
        <fgColor rgb="FFE6F4EA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6F4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1A1A1A"/>
      <rgbColor rgb="FF993300"/>
      <rgbColor rgb="FF993366"/>
      <rgbColor rgb="FF333399"/>
      <rgbColor rgb="FF2429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3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  <c r="B3" s="5"/>
    </row>
    <row r="4" customFormat="false" ht="51.7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/>
      <c r="B5" s="5"/>
    </row>
    <row r="6" customFormat="false" ht="15" hidden="false" customHeight="true" outlineLevel="0" collapsed="false">
      <c r="A6" s="4" t="s">
        <v>4</v>
      </c>
      <c r="B6" s="5"/>
    </row>
    <row r="7" customFormat="false" ht="25.5" hidden="false" customHeight="true" outlineLevel="0" collapsed="false">
      <c r="A7" s="4" t="s">
        <v>5</v>
      </c>
      <c r="B7" s="5" t="s">
        <v>6</v>
      </c>
    </row>
    <row r="8" customFormat="false" ht="39" hidden="false" customHeight="true" outlineLevel="0" collapsed="false">
      <c r="A8" s="4" t="s">
        <v>7</v>
      </c>
      <c r="B8" s="5" t="s">
        <v>8</v>
      </c>
    </row>
    <row r="9" customFormat="false" ht="25.5" hidden="false" customHeight="true" outlineLevel="0" collapsed="false">
      <c r="A9" s="4" t="s">
        <v>9</v>
      </c>
      <c r="B9" s="5" t="s">
        <v>10</v>
      </c>
    </row>
    <row r="10" customFormat="false" ht="39" hidden="false" customHeight="true" outlineLevel="0" collapsed="false">
      <c r="A10" s="4" t="s">
        <v>11</v>
      </c>
      <c r="B10" s="5" t="s">
        <v>12</v>
      </c>
    </row>
    <row r="11" customFormat="false" ht="25.5" hidden="false" customHeight="true" outlineLevel="0" collapsed="false">
      <c r="A11" s="4" t="s">
        <v>13</v>
      </c>
      <c r="B11" s="5" t="s">
        <v>14</v>
      </c>
    </row>
    <row r="12" customFormat="false" ht="15" hidden="false" customHeight="true" outlineLevel="0" collapsed="false">
      <c r="A12" s="4" t="s">
        <v>15</v>
      </c>
      <c r="B12" s="5" t="s">
        <v>16</v>
      </c>
    </row>
    <row r="13" customFormat="false" ht="15" hidden="false" customHeight="true" outlineLevel="0" collapsed="false">
      <c r="A13" s="4" t="s">
        <v>17</v>
      </c>
      <c r="B13" s="5" t="s">
        <v>18</v>
      </c>
    </row>
    <row r="14" customFormat="false" ht="25.5" hidden="false" customHeight="true" outlineLevel="0" collapsed="false">
      <c r="A14" s="4" t="s">
        <v>19</v>
      </c>
      <c r="B14" s="5" t="s">
        <v>20</v>
      </c>
    </row>
    <row r="15" customFormat="false" ht="15" hidden="false" customHeight="true" outlineLevel="0" collapsed="false">
      <c r="A15" s="4"/>
      <c r="B15" s="5"/>
    </row>
    <row r="16" customFormat="false" ht="25.5" hidden="false" customHeight="true" outlineLevel="0" collapsed="false">
      <c r="A16" s="4" t="s">
        <v>21</v>
      </c>
      <c r="B16" s="5" t="s">
        <v>22</v>
      </c>
    </row>
    <row r="17" customFormat="false" ht="25.5" hidden="false" customHeight="true" outlineLevel="0" collapsed="false">
      <c r="A17" s="4" t="s">
        <v>23</v>
      </c>
      <c r="B17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2"/>
    <col collapsed="false" customWidth="true" hidden="false" outlineLevel="0" max="3" min="3" style="1" width="14"/>
    <col collapsed="false" customWidth="true" hidden="false" outlineLevel="0" max="4" min="4" style="1" width="60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6" t="s">
        <v>25</v>
      </c>
    </row>
    <row r="2" customFormat="false" ht="15" hidden="false" customHeight="true" outlineLevel="0" collapsed="false">
      <c r="A2" s="3" t="s">
        <v>26</v>
      </c>
    </row>
    <row r="4" customFormat="false" ht="15" hidden="false" customHeight="true" outlineLevel="0" collapsed="false">
      <c r="A4" s="7" t="s">
        <v>27</v>
      </c>
      <c r="B4" s="7"/>
      <c r="C4" s="7"/>
      <c r="D4" s="7"/>
      <c r="E4" s="7"/>
    </row>
    <row r="5" customFormat="false" ht="21.75" hidden="false" customHeight="true" outlineLevel="0" collapsed="false">
      <c r="A5" s="4" t="s">
        <v>28</v>
      </c>
      <c r="C5" s="8" t="n">
        <v>108000</v>
      </c>
      <c r="D5" s="9" t="s">
        <v>29</v>
      </c>
    </row>
    <row r="6" customFormat="false" ht="21.75" hidden="false" customHeight="true" outlineLevel="0" collapsed="false">
      <c r="A6" s="10" t="s">
        <v>30</v>
      </c>
      <c r="C6" s="11" t="n">
        <v>-0.4</v>
      </c>
      <c r="D6" s="9" t="s">
        <v>31</v>
      </c>
    </row>
    <row r="7" customFormat="false" ht="15" hidden="false" customHeight="true" outlineLevel="0" collapsed="false">
      <c r="A7" s="10" t="s">
        <v>32</v>
      </c>
      <c r="C7" s="12" t="n">
        <f aca="false">C5*(1+C6)</f>
        <v>64800</v>
      </c>
    </row>
    <row r="8" customFormat="false" ht="21.75" hidden="false" customHeight="true" outlineLevel="0" collapsed="false">
      <c r="A8" s="10" t="s">
        <v>33</v>
      </c>
      <c r="C8" s="13" t="n">
        <v>80</v>
      </c>
      <c r="D8" s="9" t="s">
        <v>34</v>
      </c>
    </row>
    <row r="10" customFormat="false" ht="15" hidden="false" customHeight="true" outlineLevel="0" collapsed="false">
      <c r="A10" s="7" t="s">
        <v>35</v>
      </c>
      <c r="B10" s="7"/>
      <c r="C10" s="7"/>
      <c r="D10" s="7"/>
      <c r="E10" s="7"/>
    </row>
    <row r="11" customFormat="false" ht="21.75" hidden="false" customHeight="true" outlineLevel="0" collapsed="false">
      <c r="A11" s="10" t="s">
        <v>36</v>
      </c>
      <c r="C11" s="11" t="n">
        <v>0</v>
      </c>
      <c r="D11" s="9" t="s">
        <v>37</v>
      </c>
    </row>
    <row r="12" customFormat="false" ht="15" hidden="false" customHeight="true" outlineLevel="0" collapsed="false">
      <c r="A12" s="10" t="s">
        <v>38</v>
      </c>
      <c r="C12" s="14" t="n">
        <f aca="false">Data_KPIs!$G$7</f>
        <v>80</v>
      </c>
      <c r="D12" s="9" t="s">
        <v>39</v>
      </c>
    </row>
    <row r="13" customFormat="false" ht="15" hidden="false" customHeight="true" outlineLevel="0" collapsed="false">
      <c r="A13" s="10" t="s">
        <v>40</v>
      </c>
      <c r="C13" s="15" t="n">
        <f aca="false">AVERAGE(Data_Actuals!D7:H7)/AVERAGE(Data_Actuals!D5:H5)</f>
        <v>0.152461799660441</v>
      </c>
      <c r="D13" s="9" t="s">
        <v>41</v>
      </c>
    </row>
    <row r="14" customFormat="false" ht="15" hidden="false" customHeight="true" outlineLevel="0" collapsed="false">
      <c r="A14" s="10" t="s">
        <v>42</v>
      </c>
      <c r="C14" s="15" t="n">
        <f aca="false">(Data_Actuals!$H$6/Data_Actuals!$D$6)^(1/4)-1</f>
        <v>0.0339463079143412</v>
      </c>
      <c r="D14" s="9" t="s">
        <v>43</v>
      </c>
    </row>
    <row r="15" customFormat="false" ht="15" hidden="false" customHeight="true" outlineLevel="0" collapsed="false">
      <c r="A15" s="10" t="s">
        <v>44</v>
      </c>
      <c r="C15" s="15" t="n">
        <f aca="false">(Data_KPIs!$G$9/Data_KPIs!$C$9)^(1/4)-1</f>
        <v>0.0344844014131032</v>
      </c>
      <c r="D15" s="9" t="s">
        <v>45</v>
      </c>
    </row>
    <row r="16" customFormat="false" ht="32.25" hidden="false" customHeight="true" outlineLevel="0" collapsed="false">
      <c r="A16" s="10" t="s">
        <v>46</v>
      </c>
      <c r="C16" s="16" t="n">
        <f aca="false">(Data_Actuals!$D$8/(Data_KPIs!$C$9*Data_KPIs!$C$5/1000)+Data_Actuals!$E$8/(Data_KPIs!$D$9*Data_KPIs!$D$5/1000)+Data_Actuals!$F$8/(Data_KPIs!$E$9*Data_KPIs!$E$5/1000)+Data_Actuals!$G$8/(Data_KPIs!$F$9*Data_KPIs!$F$5/1000)+Data_Actuals!$H$8/(Data_KPIs!$G$9*Data_KPIs!$G$5/1000))/5</f>
        <v>0.000958979918962319</v>
      </c>
      <c r="D16" s="9" t="s">
        <v>47</v>
      </c>
    </row>
    <row r="17" customFormat="false" ht="15" hidden="false" customHeight="true" outlineLevel="0" collapsed="false">
      <c r="A17" s="10" t="s">
        <v>48</v>
      </c>
      <c r="C17" s="16" t="n">
        <f aca="false">MIN(Data_Actuals!$D$8/(Data_KPIs!$C$9*Data_KPIs!$C$5/1000),Data_Actuals!$E$8/(Data_KPIs!$D$9*Data_KPIs!$D$5/1000),Data_Actuals!$F$8/(Data_KPIs!$E$9*Data_KPIs!$E$5/1000),Data_Actuals!$G$8/(Data_KPIs!$F$9*Data_KPIs!$F$5/1000),Data_Actuals!$H$8/(Data_KPIs!$G$9*Data_KPIs!$G$5/1000))</f>
        <v>0.000914315569487983</v>
      </c>
      <c r="D17" s="9"/>
      <c r="E17" s="16" t="n">
        <f aca="false">MAX(Data_Actuals!$D$8/(Data_KPIs!$C$9*Data_KPIs!$C$5/1000),Data_Actuals!$E$8/(Data_KPIs!$D$9*Data_KPIs!$D$5/1000),Data_Actuals!$F$8/(Data_KPIs!$E$9*Data_KPIs!$E$5/1000),Data_Actuals!$G$8/(Data_KPIs!$F$9*Data_KPIs!$F$5/1000),Data_Actuals!$H$8/(Data_KPIs!$G$9*Data_KPIs!$G$5/1000))</f>
        <v>0.000983468882602546</v>
      </c>
    </row>
    <row r="18" customFormat="false" ht="21.75" hidden="false" customHeight="true" outlineLevel="0" collapsed="false">
      <c r="A18" s="10" t="s">
        <v>49</v>
      </c>
      <c r="C18" s="17" t="n">
        <f aca="false">(Data_Actuals!$H$9-Data_Actuals!$D$9)/4</f>
        <v>32.5</v>
      </c>
      <c r="D18" s="9" t="s">
        <v>50</v>
      </c>
    </row>
    <row r="19" customFormat="false" ht="15" hidden="false" customHeight="true" outlineLevel="0" collapsed="false">
      <c r="A19" s="10" t="s">
        <v>51</v>
      </c>
      <c r="C19" s="17" t="n">
        <f aca="false">(Data_Actuals!$H$10-Data_Actuals!$D$10)/4</f>
        <v>16.25</v>
      </c>
      <c r="D19" s="9" t="s">
        <v>52</v>
      </c>
    </row>
    <row r="21" customFormat="false" ht="15" hidden="false" customHeight="true" outlineLevel="0" collapsed="false">
      <c r="A21" s="7" t="s">
        <v>53</v>
      </c>
      <c r="B21" s="7"/>
      <c r="C21" s="7"/>
      <c r="D21" s="7"/>
      <c r="E21" s="7"/>
    </row>
    <row r="22" customFormat="false" ht="15" hidden="false" customHeight="true" outlineLevel="0" collapsed="false">
      <c r="A22" s="10" t="s">
        <v>54</v>
      </c>
      <c r="C22" s="15" t="n">
        <f aca="false">(Data_Actuals!$D$12/(Data_Actuals!$D$5+Data_Actuals!$D$7)+Data_Actuals!$E$12/(Data_Actuals!$E$5+Data_Actuals!$E$7)+Data_Actuals!$F$12/(Data_Actuals!$F$5+Data_Actuals!$F$7)+Data_Actuals!$G$12/(Data_Actuals!$G$5+Data_Actuals!$G$7)+Data_Actuals!$H$12/(Data_Actuals!$H$5+Data_Actuals!$H$7))/5</f>
        <v>0.61094412871622</v>
      </c>
      <c r="D22" s="9" t="s">
        <v>55</v>
      </c>
    </row>
    <row r="23" customFormat="false" ht="15" hidden="false" customHeight="true" outlineLevel="0" collapsed="false">
      <c r="A23" s="10" t="s">
        <v>56</v>
      </c>
      <c r="C23" s="15" t="n">
        <f aca="false">(Data_Actuals!$D$13/(Data_Actuals!$D$8+Data_Actuals!$D$9+Data_Actuals!$D$10)+Data_Actuals!$E$13/(Data_Actuals!$E$8+Data_Actuals!$E$9+Data_Actuals!$E$10)+Data_Actuals!$F$13/(Data_Actuals!$F$8+Data_Actuals!$F$9+Data_Actuals!$F$10)+Data_Actuals!$G$13/(Data_Actuals!$G$8+Data_Actuals!$G$9+Data_Actuals!$G$10)+Data_Actuals!$H$13/(Data_Actuals!$H$8+Data_Actuals!$H$9+Data_Actuals!$H$10))/5</f>
        <v>0.139744901115078</v>
      </c>
      <c r="D23" s="9" t="s">
        <v>57</v>
      </c>
    </row>
    <row r="24" customFormat="false" ht="15" hidden="false" customHeight="true" outlineLevel="0" collapsed="false">
      <c r="A24" s="10" t="s">
        <v>58</v>
      </c>
      <c r="C24" s="17" t="n">
        <f aca="false">(Data_Actuals!$H$14-Data_Actuals!$D$14)/4</f>
        <v>31.25</v>
      </c>
      <c r="D24" s="9" t="s">
        <v>59</v>
      </c>
    </row>
    <row r="25" customFormat="false" ht="15" hidden="false" customHeight="true" outlineLevel="0" collapsed="false">
      <c r="A25" s="10" t="s">
        <v>60</v>
      </c>
      <c r="C25" s="17" t="n">
        <f aca="false">(Data_Actuals!$H$15-Data_Actuals!$D$15)/4</f>
        <v>12.5</v>
      </c>
      <c r="D25" s="9" t="s">
        <v>61</v>
      </c>
    </row>
    <row r="26" customFormat="false" ht="15" hidden="false" customHeight="true" outlineLevel="0" collapsed="false">
      <c r="A26" s="10" t="s">
        <v>62</v>
      </c>
      <c r="C26" s="17" t="n">
        <f aca="false">(Data_Actuals!$H$16-Data_Actuals!$D$16)/4</f>
        <v>7.5</v>
      </c>
      <c r="D26" s="9" t="s">
        <v>63</v>
      </c>
    </row>
    <row r="27" customFormat="false" ht="42.75" hidden="false" customHeight="true" outlineLevel="0" collapsed="false">
      <c r="A27" s="10" t="s">
        <v>64</v>
      </c>
      <c r="C27" s="18" t="n">
        <v>450</v>
      </c>
      <c r="D27" s="9" t="s">
        <v>65</v>
      </c>
    </row>
    <row r="28" customFormat="false" ht="32.25" hidden="false" customHeight="true" outlineLevel="0" collapsed="false">
      <c r="A28" s="10" t="s">
        <v>66</v>
      </c>
      <c r="C28" s="19" t="s">
        <v>67</v>
      </c>
      <c r="D28" s="9" t="s">
        <v>68</v>
      </c>
    </row>
    <row r="30" customFormat="false" ht="15" hidden="false" customHeight="true" outlineLevel="0" collapsed="false">
      <c r="A30" s="7" t="s">
        <v>69</v>
      </c>
      <c r="B30" s="7"/>
      <c r="C30" s="7"/>
      <c r="D30" s="7"/>
      <c r="E30" s="7"/>
    </row>
    <row r="31" customFormat="false" ht="15" hidden="false" customHeight="true" outlineLevel="0" collapsed="false">
      <c r="A31" s="3" t="s">
        <v>70</v>
      </c>
    </row>
    <row r="32" customFormat="false" ht="21.75" hidden="false" customHeight="true" outlineLevel="0" collapsed="false">
      <c r="A32" s="10" t="s">
        <v>71</v>
      </c>
      <c r="C32" s="20" t="n">
        <f aca="false">Data_Actuals!$E$11*1000/(Data_KPIs!$D$5-Data_KPIs!$C$5)</f>
        <v>70</v>
      </c>
      <c r="D32" s="9" t="s">
        <v>72</v>
      </c>
    </row>
    <row r="33" customFormat="false" ht="15" hidden="false" customHeight="true" outlineLevel="0" collapsed="false">
      <c r="A33" s="10" t="s">
        <v>73</v>
      </c>
      <c r="C33" s="20" t="n">
        <f aca="false">Data_Actuals!$F$11*1000/(Data_KPIs!$E$5-Data_KPIs!$D$5)</f>
        <v>84.6153846153846</v>
      </c>
    </row>
    <row r="34" customFormat="false" ht="15" hidden="false" customHeight="true" outlineLevel="0" collapsed="false">
      <c r="A34" s="10" t="s">
        <v>74</v>
      </c>
      <c r="C34" s="20" t="n">
        <f aca="false">Data_Actuals!$G$11*1000/(Data_KPIs!$F$5-Data_KPIs!$E$5)</f>
        <v>75.5555555555556</v>
      </c>
    </row>
    <row r="35" customFormat="false" ht="15" hidden="false" customHeight="true" outlineLevel="0" collapsed="false">
      <c r="A35" s="10" t="s">
        <v>75</v>
      </c>
      <c r="C35" s="20" t="n">
        <f aca="false">Data_Actuals!$H$11*1000/(Data_KPIs!$G$5-Data_KPIs!$F$5)</f>
        <v>90.625</v>
      </c>
    </row>
    <row r="37" customFormat="false" ht="15" hidden="false" customHeight="true" outlineLevel="0" collapsed="false">
      <c r="A37" s="3" t="s">
        <v>76</v>
      </c>
      <c r="C37" s="18" t="n">
        <v>50</v>
      </c>
    </row>
    <row r="38" customFormat="false" ht="15" hidden="false" customHeight="true" outlineLevel="0" collapsed="false">
      <c r="A38" s="3" t="s">
        <v>77</v>
      </c>
      <c r="C38" s="11" t="n">
        <v>0.1</v>
      </c>
    </row>
  </sheetData>
  <mergeCells count="4">
    <mergeCell ref="A4:E4"/>
    <mergeCell ref="A10:E10"/>
    <mergeCell ref="A21:E21"/>
    <mergeCell ref="A30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11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22"/>
    <col collapsed="false" customWidth="true" hidden="false" outlineLevel="0" max="8" min="7" style="1" width="11"/>
    <col collapsed="false" customWidth="true" hidden="false" outlineLevel="0" max="9" min="9" style="1" width="10"/>
    <col collapsed="false" customWidth="true" hidden="false" outlineLevel="0" max="10" min="10" style="1" width="9"/>
    <col collapsed="false" customWidth="true" hidden="false" outlineLevel="0" max="11" min="11" style="1" width="22"/>
  </cols>
  <sheetData>
    <row r="1" customFormat="false" ht="17.25" hidden="false" customHeight="true" outlineLevel="0" collapsed="false">
      <c r="A1" s="6" t="s">
        <v>78</v>
      </c>
    </row>
    <row r="2" customFormat="false" ht="39.75" hidden="false" customHeight="true" outlineLevel="0" collapsed="false">
      <c r="A2" s="21" t="s">
        <v>79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customFormat="false" ht="15" hidden="false" customHeight="true" outlineLevel="0" collapsed="false">
      <c r="A4" s="22" t="s">
        <v>80</v>
      </c>
      <c r="B4" s="22" t="s">
        <v>81</v>
      </c>
      <c r="C4" s="22" t="s">
        <v>82</v>
      </c>
      <c r="D4" s="22" t="s">
        <v>83</v>
      </c>
      <c r="E4" s="22" t="s">
        <v>84</v>
      </c>
      <c r="F4" s="22" t="s">
        <v>85</v>
      </c>
      <c r="G4" s="22" t="s">
        <v>86</v>
      </c>
      <c r="H4" s="22" t="s">
        <v>87</v>
      </c>
      <c r="I4" s="22" t="s">
        <v>83</v>
      </c>
      <c r="J4" s="22" t="s">
        <v>84</v>
      </c>
      <c r="K4" s="22" t="s">
        <v>85</v>
      </c>
    </row>
    <row r="5" customFormat="false" ht="15" hidden="false" customHeight="true" outlineLevel="0" collapsed="false">
      <c r="A5" s="23" t="s">
        <v>88</v>
      </c>
      <c r="B5" s="24"/>
      <c r="C5" s="24"/>
      <c r="D5" s="24"/>
      <c r="E5" s="24"/>
      <c r="F5" s="24"/>
      <c r="G5" s="24"/>
      <c r="H5" s="24"/>
      <c r="I5" s="24"/>
      <c r="J5" s="24"/>
      <c r="K5" s="24"/>
    </row>
    <row r="6" customFormat="false" ht="15" hidden="false" customHeight="true" outlineLevel="0" collapsed="false">
      <c r="A6" s="25" t="s">
        <v>89</v>
      </c>
      <c r="B6" s="26" t="n">
        <f aca="false">Data_Actuals!$H$5</f>
        <v>495</v>
      </c>
      <c r="C6" s="26" t="n">
        <f aca="false">Data_Budget!$H$5</f>
        <v>660</v>
      </c>
      <c r="D6" s="27" t="n">
        <f aca="false">B6-C6</f>
        <v>-165</v>
      </c>
      <c r="E6" s="15" t="n">
        <f aca="false">IF(C6=0,"n/m",D6/ABS(C6))</f>
        <v>-0.25</v>
      </c>
      <c r="F6" s="19" t="str">
        <f aca="false">IF(E6="n/m","n/m — see note",IF(AND(ABS(D6)&gt;=Inputs!$C$37,ABS(E6)&gt;=Inputs!$C$38),IF(D6&gt;0,"Favorable — material","UNFAVORABLE — material"),""))</f>
        <v>UNFAVORABLE — material</v>
      </c>
      <c r="G6" s="26" t="n">
        <f aca="false">SUM(Data_Actuals!$D$5:$H$5)</f>
        <v>2945</v>
      </c>
      <c r="H6" s="26" t="n">
        <f aca="false">SUM(Data_Budget!$D$5:$H$5)</f>
        <v>3120</v>
      </c>
      <c r="I6" s="27" t="n">
        <f aca="false">G6-H6</f>
        <v>-175</v>
      </c>
      <c r="J6" s="15" t="n">
        <f aca="false">IF(H6=0,"n/m",I6/ABS(H6))</f>
        <v>-0.0560897435897436</v>
      </c>
      <c r="K6" s="19" t="str">
        <f aca="false">IF(J6="n/m","n/m — see note",IF(AND(ABS(I6)&gt;=Inputs!$C$37,ABS(J6)&gt;=Inputs!$C$38),IF(I6&gt;0,"Favorable — material","UNFAVORABLE — material"),""))</f>
        <v/>
      </c>
    </row>
    <row r="7" customFormat="false" ht="15" hidden="false" customHeight="true" outlineLevel="0" collapsed="false">
      <c r="A7" s="25" t="s">
        <v>90</v>
      </c>
      <c r="B7" s="26" t="n">
        <f aca="false">Data_Actuals!$H$6</f>
        <v>240</v>
      </c>
      <c r="C7" s="26" t="n">
        <f aca="false">Data_Budget!$H$6</f>
        <v>233</v>
      </c>
      <c r="D7" s="27" t="n">
        <f aca="false">B7-C7</f>
        <v>7</v>
      </c>
      <c r="E7" s="15" t="n">
        <f aca="false">IF(C7=0,"n/m",D7/ABS(C7))</f>
        <v>0.0300429184549356</v>
      </c>
      <c r="F7" s="19" t="str">
        <f aca="false">IF(E7="n/m","n/m — see note",IF(AND(ABS(D7)&gt;=Inputs!$C$37,ABS(E7)&gt;=Inputs!$C$38),IF(D7&gt;0,"Favorable — material","UNFAVORABLE — material"),""))</f>
        <v/>
      </c>
      <c r="G7" s="26" t="n">
        <f aca="false">SUM(Data_Actuals!$D$6:$H$6)</f>
        <v>1126</v>
      </c>
      <c r="H7" s="26" t="n">
        <f aca="false">SUM(Data_Budget!$D$6:$H$6)</f>
        <v>1095</v>
      </c>
      <c r="I7" s="27" t="n">
        <f aca="false">G7-H7</f>
        <v>31</v>
      </c>
      <c r="J7" s="15" t="n">
        <f aca="false">IF(H7=0,"n/m",I7/ABS(H7))</f>
        <v>0.028310502283105</v>
      </c>
      <c r="K7" s="19" t="str">
        <f aca="false">IF(J7="n/m","n/m — see note",IF(AND(ABS(I7)&gt;=Inputs!$C$37,ABS(J7)&gt;=Inputs!$C$38),IF(I7&gt;0,"Favorable — material","UNFAVORABLE — material"),""))</f>
        <v/>
      </c>
    </row>
    <row r="8" customFormat="false" ht="15" hidden="false" customHeight="true" outlineLevel="0" collapsed="false">
      <c r="A8" s="25" t="s">
        <v>91</v>
      </c>
      <c r="B8" s="26" t="n">
        <f aca="false">Data_Actuals!$H$7</f>
        <v>76</v>
      </c>
      <c r="C8" s="26" t="n">
        <f aca="false">Data_Budget!$H$7</f>
        <v>100</v>
      </c>
      <c r="D8" s="27" t="n">
        <f aca="false">B8-C8</f>
        <v>-24</v>
      </c>
      <c r="E8" s="15" t="n">
        <f aca="false">IF(C8=0,"n/m",D8/ABS(C8))</f>
        <v>-0.24</v>
      </c>
      <c r="F8" s="19" t="str">
        <f aca="false">IF(E8="n/m","n/m — see note",IF(AND(ABS(D8)&gt;=Inputs!$C$37,ABS(E8)&gt;=Inputs!$C$38),IF(D8&gt;0,"Favorable — material","UNFAVORABLE — material"),""))</f>
        <v/>
      </c>
      <c r="G8" s="26" t="n">
        <f aca="false">SUM(Data_Actuals!$D$7:$H$7)</f>
        <v>449</v>
      </c>
      <c r="H8" s="26" t="n">
        <f aca="false">SUM(Data_Budget!$D$7:$H$7)</f>
        <v>470</v>
      </c>
      <c r="I8" s="27" t="n">
        <f aca="false">G8-H8</f>
        <v>-21</v>
      </c>
      <c r="J8" s="15" t="n">
        <f aca="false">IF(H8=0,"n/m",I8/ABS(H8))</f>
        <v>-0.0446808510638298</v>
      </c>
      <c r="K8" s="19" t="str">
        <f aca="false">IF(J8="n/m","n/m — see note",IF(AND(ABS(I8)&gt;=Inputs!$C$37,ABS(J8)&gt;=Inputs!$C$38),IF(I8&gt;0,"Favorable — material","UNFAVORABLE — material"),""))</f>
        <v/>
      </c>
    </row>
    <row r="9" customFormat="false" ht="15" hidden="false" customHeight="true" outlineLevel="0" collapsed="false">
      <c r="A9" s="28" t="s">
        <v>92</v>
      </c>
      <c r="B9" s="29" t="n">
        <f aca="false">SUM(B6:B8)</f>
        <v>811</v>
      </c>
      <c r="C9" s="29" t="n">
        <f aca="false">SUM(C6:C8)</f>
        <v>993</v>
      </c>
      <c r="D9" s="27" t="n">
        <f aca="false">B9-C9</f>
        <v>-182</v>
      </c>
      <c r="E9" s="15" t="n">
        <f aca="false">IF(C9=0,"n/m",D9/ABS(C9))</f>
        <v>-0.183282980866062</v>
      </c>
      <c r="F9" s="19" t="str">
        <f aca="false">IF(E9="n/m","n/m — see note",IF(AND(ABS(D9)&gt;=Inputs!$C$37,ABS(E9)&gt;=Inputs!$C$38),IF(D9&gt;0,"Favorable — material","UNFAVORABLE — material"),""))</f>
        <v>UNFAVORABLE — material</v>
      </c>
      <c r="G9" s="29" t="n">
        <f aca="false">SUM(G6:G8)</f>
        <v>4520</v>
      </c>
      <c r="H9" s="29" t="n">
        <f aca="false">SUM(H6:H8)</f>
        <v>4685</v>
      </c>
      <c r="I9" s="27" t="n">
        <f aca="false">G9-H9</f>
        <v>-165</v>
      </c>
      <c r="J9" s="15" t="n">
        <f aca="false">IF(H9=0,"n/m",I9/ABS(H9))</f>
        <v>-0.0352187833511206</v>
      </c>
      <c r="K9" s="19" t="str">
        <f aca="false">IF(J9="n/m","n/m — see note",IF(AND(ABS(I9)&gt;=Inputs!$C$37,ABS(J9)&gt;=Inputs!$C$38),IF(I9&gt;0,"Favorable — material","UNFAVORABLE — material"),""))</f>
        <v/>
      </c>
    </row>
    <row r="10" customFormat="false" ht="15" hidden="false" customHeight="true" outlineLevel="0" collapsed="false">
      <c r="A10" s="25" t="s">
        <v>93</v>
      </c>
      <c r="B10" s="26" t="n">
        <f aca="false">Data_Actuals!$H$12</f>
        <v>360</v>
      </c>
      <c r="C10" s="26" t="n">
        <f aca="false">Data_Budget!$H$12</f>
        <v>455</v>
      </c>
      <c r="D10" s="27" t="n">
        <f aca="false">B10-C10</f>
        <v>-95</v>
      </c>
      <c r="E10" s="15" t="n">
        <f aca="false">IF(C10=0,"n/m",D10/ABS(C10))</f>
        <v>-0.208791208791209</v>
      </c>
      <c r="F10" s="19" t="str">
        <f aca="false">IF(E10="n/m","n/m — see note",IF(AND(ABS(D10)&gt;=Inputs!$C$37,ABS(E10)&gt;=Inputs!$C$38),IF(D10&lt;0,"Favorable — material","UNFAVORABLE — material"),""))</f>
        <v>Favorable — material</v>
      </c>
      <c r="G10" s="26" t="n">
        <f aca="false">SUM(Data_Actuals!$D$12:$H$12)</f>
        <v>2070</v>
      </c>
      <c r="H10" s="26" t="n">
        <f aca="false">SUM(Data_Budget!$D$12:$H$12)</f>
        <v>2140</v>
      </c>
      <c r="I10" s="27" t="n">
        <f aca="false">G10-H10</f>
        <v>-70</v>
      </c>
      <c r="J10" s="15" t="n">
        <f aca="false">IF(H10=0,"n/m",I10/ABS(H10))</f>
        <v>-0.0327102803738318</v>
      </c>
      <c r="K10" s="19" t="str">
        <f aca="false">IF(J10="n/m","n/m — see note",IF(AND(ABS(I10)&gt;=Inputs!$C$37,ABS(J10)&gt;=Inputs!$C$38),IF(I10&lt;0,"Favorable — material","UNFAVORABLE — material"),""))</f>
        <v/>
      </c>
    </row>
    <row r="11" customFormat="false" ht="15" hidden="false" customHeight="true" outlineLevel="0" collapsed="false">
      <c r="A11" s="28" t="s">
        <v>94</v>
      </c>
      <c r="B11" s="29" t="n">
        <f aca="false">B9-B10</f>
        <v>451</v>
      </c>
      <c r="C11" s="29" t="n">
        <f aca="false">C9-C10</f>
        <v>538</v>
      </c>
      <c r="D11" s="27" t="n">
        <f aca="false">B11-C11</f>
        <v>-87</v>
      </c>
      <c r="E11" s="15" t="n">
        <f aca="false">IF(C11=0,"n/m",D11/ABS(C11))</f>
        <v>-0.161710037174721</v>
      </c>
      <c r="F11" s="19" t="str">
        <f aca="false">IF(E11="n/m","n/m — see note",IF(AND(ABS(D11)&gt;=Inputs!$C$37,ABS(E11)&gt;=Inputs!$C$38),IF(D11&gt;0,"Favorable — material","UNFAVORABLE — material"),""))</f>
        <v>UNFAVORABLE — material</v>
      </c>
      <c r="G11" s="29" t="n">
        <f aca="false">G9-G10</f>
        <v>2450</v>
      </c>
      <c r="H11" s="29" t="n">
        <f aca="false">H9-H10</f>
        <v>2545</v>
      </c>
      <c r="I11" s="27" t="n">
        <f aca="false">G11-H11</f>
        <v>-95</v>
      </c>
      <c r="J11" s="15" t="n">
        <f aca="false">IF(H11=0,"n/m",I11/ABS(H11))</f>
        <v>-0.037328094302554</v>
      </c>
      <c r="K11" s="19" t="str">
        <f aca="false">IF(J11="n/m","n/m — see note",IF(AND(ABS(I11)&gt;=Inputs!$C$37,ABS(J11)&gt;=Inputs!$C$38),IF(I11&gt;0,"Favorable — material","UNFAVORABLE — material"),""))</f>
        <v/>
      </c>
    </row>
    <row r="12" customFormat="false" ht="15" hidden="false" customHeight="true" outlineLevel="0" collapsed="false">
      <c r="A12" s="23" t="s">
        <v>95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</row>
    <row r="13" customFormat="false" ht="15" hidden="false" customHeight="true" outlineLevel="0" collapsed="false">
      <c r="A13" s="25" t="s">
        <v>96</v>
      </c>
      <c r="B13" s="26" t="n">
        <f aca="false">Data_Actuals!$H$8</f>
        <v>510</v>
      </c>
      <c r="C13" s="26" t="n">
        <f aca="false">Data_Budget!$H$8</f>
        <v>430</v>
      </c>
      <c r="D13" s="27" t="n">
        <f aca="false">B13-C13</f>
        <v>80</v>
      </c>
      <c r="E13" s="15" t="n">
        <f aca="false">IF(C13=0,"n/m",D13/ABS(C13))</f>
        <v>0.186046511627907</v>
      </c>
      <c r="F13" s="19" t="str">
        <f aca="false">IF(E13="n/m","n/m — see note",IF(AND(ABS(D13)&gt;=Inputs!$C$37,ABS(E13)&gt;=Inputs!$C$38),IF(D13&gt;0,"Favorable — material","UNFAVORABLE — material"),""))</f>
        <v>Favorable — material</v>
      </c>
      <c r="G13" s="26" t="n">
        <f aca="false">SUM(Data_Actuals!$D$8:$H$8)</f>
        <v>2090</v>
      </c>
      <c r="H13" s="26" t="n">
        <f aca="false">SUM(Data_Budget!$D$8:$H$8)</f>
        <v>2000</v>
      </c>
      <c r="I13" s="27" t="n">
        <f aca="false">G13-H13</f>
        <v>90</v>
      </c>
      <c r="J13" s="15" t="n">
        <f aca="false">IF(H13=0,"n/m",I13/ABS(H13))</f>
        <v>0.045</v>
      </c>
      <c r="K13" s="19" t="str">
        <f aca="false">IF(J13="n/m","n/m — see note",IF(AND(ABS(I13)&gt;=Inputs!$C$37,ABS(J13)&gt;=Inputs!$C$38),IF(I13&gt;0,"Favorable — material","UNFAVORABLE — material"),""))</f>
        <v/>
      </c>
    </row>
    <row r="14" customFormat="false" ht="15" hidden="false" customHeight="true" outlineLevel="0" collapsed="false">
      <c r="A14" s="25" t="s">
        <v>97</v>
      </c>
      <c r="B14" s="26" t="n">
        <f aca="false">Data_Actuals!$H$9</f>
        <v>1380</v>
      </c>
      <c r="C14" s="26" t="n">
        <f aca="false">Data_Budget!$H$9</f>
        <v>1390</v>
      </c>
      <c r="D14" s="27" t="n">
        <f aca="false">B14-C14</f>
        <v>-10</v>
      </c>
      <c r="E14" s="15" t="n">
        <f aca="false">IF(C14=0,"n/m",D14/ABS(C14))</f>
        <v>-0.00719424460431655</v>
      </c>
      <c r="F14" s="19" t="str">
        <f aca="false">IF(E14="n/m","n/m — see note",IF(AND(ABS(D14)&gt;=Inputs!$C$37,ABS(E14)&gt;=Inputs!$C$38),IF(D14&gt;0,"Favorable — material","UNFAVORABLE — material"),""))</f>
        <v/>
      </c>
      <c r="G14" s="26" t="n">
        <f aca="false">SUM(Data_Actuals!$D$9:$H$9)</f>
        <v>6565</v>
      </c>
      <c r="H14" s="26" t="n">
        <f aca="false">SUM(Data_Budget!$D$9:$H$9)</f>
        <v>6550</v>
      </c>
      <c r="I14" s="27" t="n">
        <f aca="false">G14-H14</f>
        <v>15</v>
      </c>
      <c r="J14" s="15" t="n">
        <f aca="false">IF(H14=0,"n/m",I14/ABS(H14))</f>
        <v>0.00229007633587786</v>
      </c>
      <c r="K14" s="19" t="str">
        <f aca="false">IF(J14="n/m","n/m — see note",IF(AND(ABS(I14)&gt;=Inputs!$C$37,ABS(J14)&gt;=Inputs!$C$38),IF(I14&gt;0,"Favorable — material","UNFAVORABLE — material"),""))</f>
        <v/>
      </c>
    </row>
    <row r="15" customFormat="false" ht="15" hidden="false" customHeight="true" outlineLevel="0" collapsed="false">
      <c r="A15" s="25" t="s">
        <v>98</v>
      </c>
      <c r="B15" s="26" t="n">
        <f aca="false">Data_Actuals!$H$10</f>
        <v>705</v>
      </c>
      <c r="C15" s="26" t="n">
        <f aca="false">Data_Budget!$H$10</f>
        <v>660</v>
      </c>
      <c r="D15" s="27" t="n">
        <f aca="false">B15-C15</f>
        <v>45</v>
      </c>
      <c r="E15" s="15" t="n">
        <f aca="false">IF(C15=0,"n/m",D15/ABS(C15))</f>
        <v>0.0681818181818182</v>
      </c>
      <c r="F15" s="19" t="str">
        <f aca="false">IF(E15="n/m","n/m — see note",IF(AND(ABS(D15)&gt;=Inputs!$C$37,ABS(E15)&gt;=Inputs!$C$38),IF(D15&gt;0,"Favorable — material","UNFAVORABLE — material"),""))</f>
        <v/>
      </c>
      <c r="G15" s="26" t="n">
        <f aca="false">SUM(Data_Actuals!$D$10:$H$10)</f>
        <v>3300</v>
      </c>
      <c r="H15" s="26" t="n">
        <f aca="false">SUM(Data_Budget!$D$10:$H$10)</f>
        <v>3200</v>
      </c>
      <c r="I15" s="27" t="n">
        <f aca="false">G15-H15</f>
        <v>100</v>
      </c>
      <c r="J15" s="15" t="n">
        <f aca="false">IF(H15=0,"n/m",I15/ABS(H15))</f>
        <v>0.03125</v>
      </c>
      <c r="K15" s="19" t="str">
        <f aca="false">IF(J15="n/m","n/m — see note",IF(AND(ABS(I15)&gt;=Inputs!$C$37,ABS(J15)&gt;=Inputs!$C$38),IF(I15&gt;0,"Favorable — material","UNFAVORABLE — material"),""))</f>
        <v/>
      </c>
    </row>
    <row r="16" customFormat="false" ht="15" hidden="false" customHeight="true" outlineLevel="0" collapsed="false">
      <c r="A16" s="28" t="s">
        <v>99</v>
      </c>
      <c r="B16" s="29" t="n">
        <f aca="false">SUM(B13:B15)</f>
        <v>2595</v>
      </c>
      <c r="C16" s="29" t="n">
        <f aca="false">SUM(C13:C15)</f>
        <v>2480</v>
      </c>
      <c r="D16" s="27" t="n">
        <f aca="false">B16-C16</f>
        <v>115</v>
      </c>
      <c r="E16" s="15" t="n">
        <f aca="false">IF(C16=0,"n/m",D16/ABS(C16))</f>
        <v>0.0463709677419355</v>
      </c>
      <c r="F16" s="19" t="str">
        <f aca="false">IF(E16="n/m","n/m — see note",IF(AND(ABS(D16)&gt;=Inputs!$C$37,ABS(E16)&gt;=Inputs!$C$38),IF(D16&gt;0,"Favorable — material","UNFAVORABLE — material"),""))</f>
        <v/>
      </c>
      <c r="G16" s="29" t="n">
        <f aca="false">SUM(G13:G15)</f>
        <v>11955</v>
      </c>
      <c r="H16" s="29" t="n">
        <f aca="false">SUM(H13:H15)</f>
        <v>11750</v>
      </c>
      <c r="I16" s="27" t="n">
        <f aca="false">G16-H16</f>
        <v>205</v>
      </c>
      <c r="J16" s="15" t="n">
        <f aca="false">IF(H16=0,"n/m",I16/ABS(H16))</f>
        <v>0.0174468085106383</v>
      </c>
      <c r="K16" s="19" t="str">
        <f aca="false">IF(J16="n/m","n/m — see note",IF(AND(ABS(I16)&gt;=Inputs!$C$37,ABS(J16)&gt;=Inputs!$C$38),IF(I16&gt;0,"Favorable — material","UNFAVORABLE — material"),""))</f>
        <v/>
      </c>
    </row>
    <row r="17" customFormat="false" ht="15" hidden="false" customHeight="true" outlineLevel="0" collapsed="false">
      <c r="A17" s="25" t="s">
        <v>100</v>
      </c>
      <c r="B17" s="26" t="n">
        <f aca="false">Data_Actuals!$H$13</f>
        <v>360</v>
      </c>
      <c r="C17" s="26" t="n">
        <f aca="false">Data_Budget!$H$13</f>
        <v>340</v>
      </c>
      <c r="D17" s="27" t="n">
        <f aca="false">B17-C17</f>
        <v>20</v>
      </c>
      <c r="E17" s="15" t="n">
        <f aca="false">IF(C17=0,"n/m",D17/ABS(C17))</f>
        <v>0.0588235294117647</v>
      </c>
      <c r="F17" s="19" t="str">
        <f aca="false">IF(E17="n/m","n/m — see note",IF(AND(ABS(D17)&gt;=Inputs!$C$37,ABS(E17)&gt;=Inputs!$C$38),IF(D17&lt;0,"Favorable — material","UNFAVORABLE — material"),""))</f>
        <v/>
      </c>
      <c r="G17" s="26" t="n">
        <f aca="false">SUM(Data_Actuals!$D$13:$H$13)</f>
        <v>1670</v>
      </c>
      <c r="H17" s="26" t="n">
        <f aca="false">SUM(Data_Budget!$D$13:$H$13)</f>
        <v>1650</v>
      </c>
      <c r="I17" s="27" t="n">
        <f aca="false">G17-H17</f>
        <v>20</v>
      </c>
      <c r="J17" s="15" t="n">
        <f aca="false">IF(H17=0,"n/m",I17/ABS(H17))</f>
        <v>0.0121212121212121</v>
      </c>
      <c r="K17" s="19" t="str">
        <f aca="false">IF(J17="n/m","n/m — see note",IF(AND(ABS(I17)&gt;=Inputs!$C$37,ABS(J17)&gt;=Inputs!$C$38),IF(I17&lt;0,"Favorable — material","UNFAVORABLE — material"),""))</f>
        <v/>
      </c>
    </row>
    <row r="18" customFormat="false" ht="15" hidden="false" customHeight="true" outlineLevel="0" collapsed="false">
      <c r="A18" s="28" t="s">
        <v>101</v>
      </c>
      <c r="B18" s="29" t="n">
        <f aca="false">B16-B17</f>
        <v>2235</v>
      </c>
      <c r="C18" s="29" t="n">
        <f aca="false">C16-C17</f>
        <v>2140</v>
      </c>
      <c r="D18" s="27" t="n">
        <f aca="false">B18-C18</f>
        <v>95</v>
      </c>
      <c r="E18" s="15" t="n">
        <f aca="false">IF(C18=0,"n/m",D18/ABS(C18))</f>
        <v>0.044392523364486</v>
      </c>
      <c r="F18" s="19" t="str">
        <f aca="false">IF(E18="n/m","n/m — see note",IF(AND(ABS(D18)&gt;=Inputs!$C$37,ABS(E18)&gt;=Inputs!$C$38),IF(D18&gt;0,"Favorable — material","UNFAVORABLE — material"),""))</f>
        <v/>
      </c>
      <c r="G18" s="29" t="n">
        <f aca="false">G16-G17</f>
        <v>10285</v>
      </c>
      <c r="H18" s="29" t="n">
        <f aca="false">H16-H17</f>
        <v>10100</v>
      </c>
      <c r="I18" s="27" t="n">
        <f aca="false">G18-H18</f>
        <v>185</v>
      </c>
      <c r="J18" s="15" t="n">
        <f aca="false">IF(H18=0,"n/m",I18/ABS(H18))</f>
        <v>0.0183168316831683</v>
      </c>
      <c r="K18" s="19" t="str">
        <f aca="false">IF(J18="n/m","n/m — see note",IF(AND(ABS(I18)&gt;=Inputs!$C$37,ABS(J18)&gt;=Inputs!$C$38),IF(I18&gt;0,"Favorable — material","UNFAVORABLE — material"),""))</f>
        <v/>
      </c>
    </row>
    <row r="19" customFormat="false" ht="15" hidden="false" customHeight="true" outlineLevel="0" collapsed="false">
      <c r="A19" s="23" t="s">
        <v>102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</row>
    <row r="20" customFormat="false" ht="15" hidden="false" customHeight="true" outlineLevel="0" collapsed="false">
      <c r="A20" s="28" t="s">
        <v>103</v>
      </c>
      <c r="B20" s="29" t="n">
        <f aca="false">B9+B16</f>
        <v>3406</v>
      </c>
      <c r="C20" s="29" t="n">
        <f aca="false">C9+C16</f>
        <v>3473</v>
      </c>
      <c r="D20" s="27" t="n">
        <f aca="false">B20-C20</f>
        <v>-67</v>
      </c>
      <c r="E20" s="15" t="n">
        <f aca="false">IF(C20=0,"n/m",D20/ABS(C20))</f>
        <v>-0.0192916786639793</v>
      </c>
      <c r="F20" s="19" t="str">
        <f aca="false">IF(E20="n/m","n/m — see note",IF(AND(ABS(D20)&gt;=Inputs!$C$37,ABS(E20)&gt;=Inputs!$C$38),IF(D20&gt;0,"Favorable — material","UNFAVORABLE — material"),""))</f>
        <v/>
      </c>
      <c r="G20" s="29" t="n">
        <f aca="false">G9+G16</f>
        <v>16475</v>
      </c>
      <c r="H20" s="29" t="n">
        <f aca="false">H9+H16</f>
        <v>16435</v>
      </c>
      <c r="I20" s="27" t="n">
        <f aca="false">G20-H20</f>
        <v>40</v>
      </c>
      <c r="J20" s="15" t="n">
        <f aca="false">IF(H20=0,"n/m",I20/ABS(H20))</f>
        <v>0.00243383024034074</v>
      </c>
      <c r="K20" s="19" t="str">
        <f aca="false">IF(J20="n/m","n/m — see note",IF(AND(ABS(I20)&gt;=Inputs!$C$37,ABS(J20)&gt;=Inputs!$C$38),IF(I20&gt;0,"Favorable — material","UNFAVORABLE — material"),""))</f>
        <v/>
      </c>
    </row>
    <row r="21" customFormat="false" ht="15" hidden="false" customHeight="true" outlineLevel="0" collapsed="false">
      <c r="A21" s="28" t="s">
        <v>104</v>
      </c>
      <c r="B21" s="29" t="n">
        <f aca="false">B10+B17</f>
        <v>720</v>
      </c>
      <c r="C21" s="29" t="n">
        <f aca="false">C10+C17</f>
        <v>795</v>
      </c>
      <c r="D21" s="27" t="n">
        <f aca="false">B21-C21</f>
        <v>-75</v>
      </c>
      <c r="E21" s="15" t="n">
        <f aca="false">IF(C21=0,"n/m",D21/ABS(C21))</f>
        <v>-0.0943396226415094</v>
      </c>
      <c r="F21" s="19" t="str">
        <f aca="false">IF(E21="n/m","n/m — see note",IF(AND(ABS(D21)&gt;=Inputs!$C$37,ABS(E21)&gt;=Inputs!$C$38),IF(D21&lt;0,"Favorable — material","UNFAVORABLE — material"),""))</f>
        <v/>
      </c>
      <c r="G21" s="29" t="n">
        <f aca="false">G10+G17</f>
        <v>3740</v>
      </c>
      <c r="H21" s="29" t="n">
        <f aca="false">H10+H17</f>
        <v>3790</v>
      </c>
      <c r="I21" s="27" t="n">
        <f aca="false">G21-H21</f>
        <v>-50</v>
      </c>
      <c r="J21" s="15" t="n">
        <f aca="false">IF(H21=0,"n/m",I21/ABS(H21))</f>
        <v>-0.0131926121372032</v>
      </c>
      <c r="K21" s="19" t="str">
        <f aca="false">IF(J21="n/m","n/m — see note",IF(AND(ABS(I21)&gt;=Inputs!$C$37,ABS(J21)&gt;=Inputs!$C$38),IF(I21&lt;0,"Favorable — material","UNFAVORABLE — material"),""))</f>
        <v/>
      </c>
    </row>
    <row r="22" customFormat="false" ht="15" hidden="false" customHeight="true" outlineLevel="0" collapsed="false">
      <c r="A22" s="28" t="s">
        <v>105</v>
      </c>
      <c r="B22" s="29" t="n">
        <f aca="false">B20-B21</f>
        <v>2686</v>
      </c>
      <c r="C22" s="29" t="n">
        <f aca="false">C20-C21</f>
        <v>2678</v>
      </c>
      <c r="D22" s="27" t="n">
        <f aca="false">B22-C22</f>
        <v>8</v>
      </c>
      <c r="E22" s="15" t="n">
        <f aca="false">IF(C22=0,"n/m",D22/ABS(C22))</f>
        <v>0.00298730395817775</v>
      </c>
      <c r="F22" s="19" t="str">
        <f aca="false">IF(E22="n/m","n/m — see note",IF(AND(ABS(D22)&gt;=Inputs!$C$37,ABS(E22)&gt;=Inputs!$C$38),IF(D22&gt;0,"Favorable — material","UNFAVORABLE — material"),""))</f>
        <v/>
      </c>
      <c r="G22" s="29" t="n">
        <f aca="false">G20-G21</f>
        <v>12735</v>
      </c>
      <c r="H22" s="29" t="n">
        <f aca="false">H20-H21</f>
        <v>12645</v>
      </c>
      <c r="I22" s="27" t="n">
        <f aca="false">G22-H22</f>
        <v>90</v>
      </c>
      <c r="J22" s="15" t="n">
        <f aca="false">IF(H22=0,"n/m",I22/ABS(H22))</f>
        <v>0.00711743772241993</v>
      </c>
      <c r="K22" s="19" t="str">
        <f aca="false">IF(J22="n/m","n/m — see note",IF(AND(ABS(I22)&gt;=Inputs!$C$37,ABS(J22)&gt;=Inputs!$C$38),IF(I22&gt;0,"Favorable — material","UNFAVORABLE — material"),""))</f>
        <v/>
      </c>
    </row>
    <row r="23" customFormat="false" ht="15" hidden="false" customHeight="true" outlineLevel="0" collapsed="false">
      <c r="A23" s="23" t="s">
        <v>106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</row>
    <row r="24" customFormat="false" ht="15" hidden="false" customHeight="true" outlineLevel="0" collapsed="false">
      <c r="A24" s="25" t="s">
        <v>107</v>
      </c>
      <c r="B24" s="26" t="n">
        <f aca="false">Data_Actuals!$H$14</f>
        <v>1975</v>
      </c>
      <c r="C24" s="26" t="n">
        <f aca="false">Data_Budget!$H$14</f>
        <v>1940</v>
      </c>
      <c r="D24" s="27" t="n">
        <f aca="false">B24-C24</f>
        <v>35</v>
      </c>
      <c r="E24" s="15" t="n">
        <f aca="false">IF(C24=0,"n/m",D24/ABS(C24))</f>
        <v>0.0180412371134021</v>
      </c>
      <c r="F24" s="19" t="str">
        <f aca="false">IF(E24="n/m","n/m — see note",IF(AND(ABS(D24)&gt;=Inputs!$C$37,ABS(E24)&gt;=Inputs!$C$38),IF(D24&lt;0,"Favorable — material","UNFAVORABLE — material"),""))</f>
        <v/>
      </c>
      <c r="G24" s="26" t="n">
        <f aca="false">SUM(Data_Actuals!$D$14:$H$14)</f>
        <v>9555</v>
      </c>
      <c r="H24" s="26" t="n">
        <f aca="false">SUM(Data_Budget!$D$14:$H$14)</f>
        <v>9400</v>
      </c>
      <c r="I24" s="27" t="n">
        <f aca="false">G24-H24</f>
        <v>155</v>
      </c>
      <c r="J24" s="15" t="n">
        <f aca="false">IF(H24=0,"n/m",I24/ABS(H24))</f>
        <v>0.0164893617021277</v>
      </c>
      <c r="K24" s="19" t="str">
        <f aca="false">IF(J24="n/m","n/m — see note",IF(AND(ABS(I24)&gt;=Inputs!$C$37,ABS(J24)&gt;=Inputs!$C$38),IF(I24&lt;0,"Favorable — material","UNFAVORABLE — material"),""))</f>
        <v/>
      </c>
    </row>
    <row r="25" customFormat="false" ht="15" hidden="false" customHeight="true" outlineLevel="0" collapsed="false">
      <c r="A25" s="25" t="s">
        <v>108</v>
      </c>
      <c r="B25" s="26" t="n">
        <f aca="false">Data_Actuals!$H$15</f>
        <v>590</v>
      </c>
      <c r="C25" s="26" t="n">
        <f aca="false">Data_Budget!$H$15</f>
        <v>570</v>
      </c>
      <c r="D25" s="27" t="n">
        <f aca="false">B25-C25</f>
        <v>20</v>
      </c>
      <c r="E25" s="15" t="n">
        <f aca="false">IF(C25=0,"n/m",D25/ABS(C25))</f>
        <v>0.0350877192982456</v>
      </c>
      <c r="F25" s="19" t="str">
        <f aca="false">IF(E25="n/m","n/m — see note",IF(AND(ABS(D25)&gt;=Inputs!$C$37,ABS(E25)&gt;=Inputs!$C$38),IF(D25&lt;0,"Favorable — material","UNFAVORABLE — material"),""))</f>
        <v/>
      </c>
      <c r="G25" s="26" t="n">
        <f aca="false">SUM(Data_Actuals!$D$15:$H$15)</f>
        <v>2820</v>
      </c>
      <c r="H25" s="26" t="n">
        <f aca="false">SUM(Data_Budget!$D$15:$H$15)</f>
        <v>2750</v>
      </c>
      <c r="I25" s="27" t="n">
        <f aca="false">G25-H25</f>
        <v>70</v>
      </c>
      <c r="J25" s="15" t="n">
        <f aca="false">IF(H25=0,"n/m",I25/ABS(H25))</f>
        <v>0.0254545454545455</v>
      </c>
      <c r="K25" s="19" t="str">
        <f aca="false">IF(J25="n/m","n/m — see note",IF(AND(ABS(I25)&gt;=Inputs!$C$37,ABS(J25)&gt;=Inputs!$C$38),IF(I25&lt;0,"Favorable — material","UNFAVORABLE — material"),""))</f>
        <v/>
      </c>
    </row>
    <row r="26" customFormat="false" ht="15" hidden="false" customHeight="true" outlineLevel="0" collapsed="false">
      <c r="A26" s="25" t="s">
        <v>109</v>
      </c>
      <c r="B26" s="26" t="n">
        <f aca="false">Data_Actuals!$H$16</f>
        <v>450</v>
      </c>
      <c r="C26" s="26" t="n">
        <f aca="false">Data_Budget!$H$16</f>
        <v>435</v>
      </c>
      <c r="D26" s="27" t="n">
        <f aca="false">B26-C26</f>
        <v>15</v>
      </c>
      <c r="E26" s="15" t="n">
        <f aca="false">IF(C26=0,"n/m",D26/ABS(C26))</f>
        <v>0.0344827586206897</v>
      </c>
      <c r="F26" s="19" t="str">
        <f aca="false">IF(E26="n/m","n/m — see note",IF(AND(ABS(D26)&gt;=Inputs!$C$37,ABS(E26)&gt;=Inputs!$C$38),IF(D26&lt;0,"Favorable — material","UNFAVORABLE — material"),""))</f>
        <v/>
      </c>
      <c r="G26" s="26" t="n">
        <f aca="false">SUM(Data_Actuals!$D$16:$H$16)</f>
        <v>2165</v>
      </c>
      <c r="H26" s="26" t="n">
        <f aca="false">SUM(Data_Budget!$D$16:$H$16)</f>
        <v>2125</v>
      </c>
      <c r="I26" s="27" t="n">
        <f aca="false">G26-H26</f>
        <v>40</v>
      </c>
      <c r="J26" s="15" t="n">
        <f aca="false">IF(H26=0,"n/m",I26/ABS(H26))</f>
        <v>0.0188235294117647</v>
      </c>
      <c r="K26" s="19" t="str">
        <f aca="false">IF(J26="n/m","n/m — see note",IF(AND(ABS(I26)&gt;=Inputs!$C$37,ABS(J26)&gt;=Inputs!$C$38),IF(I26&lt;0,"Favorable — material","UNFAVORABLE — material"),""))</f>
        <v/>
      </c>
    </row>
    <row r="27" customFormat="false" ht="15" hidden="false" customHeight="true" outlineLevel="0" collapsed="false">
      <c r="A27" s="25" t="s">
        <v>110</v>
      </c>
      <c r="B27" s="26" t="n">
        <f aca="false">Data_Actuals!$H$17</f>
        <v>480</v>
      </c>
      <c r="C27" s="26" t="n">
        <f aca="false">Data_Budget!$H$17</f>
        <v>300</v>
      </c>
      <c r="D27" s="27" t="n">
        <f aca="false">B27-C27</f>
        <v>180</v>
      </c>
      <c r="E27" s="15" t="n">
        <f aca="false">IF(C27=0,"n/m",D27/ABS(C27))</f>
        <v>0.6</v>
      </c>
      <c r="F27" s="19" t="str">
        <f aca="false">IF(E27="n/m","n/m — see note",IF(AND(ABS(D27)&gt;=Inputs!$C$37,ABS(E27)&gt;=Inputs!$C$38),IF(D27&lt;0,"Favorable — material","UNFAVORABLE — material"),""))</f>
        <v>UNFAVORABLE — material</v>
      </c>
      <c r="G27" s="26" t="n">
        <f aca="false">SUM(Data_Actuals!$D$17:$H$17)</f>
        <v>1810</v>
      </c>
      <c r="H27" s="26" t="n">
        <f aca="false">SUM(Data_Budget!$D$17:$H$17)</f>
        <v>1450</v>
      </c>
      <c r="I27" s="27" t="n">
        <f aca="false">G27-H27</f>
        <v>360</v>
      </c>
      <c r="J27" s="15" t="n">
        <f aca="false">IF(H27=0,"n/m",I27/ABS(H27))</f>
        <v>0.248275862068966</v>
      </c>
      <c r="K27" s="19" t="str">
        <f aca="false">IF(J27="n/m","n/m — see note",IF(AND(ABS(I27)&gt;=Inputs!$C$37,ABS(J27)&gt;=Inputs!$C$38),IF(I27&lt;0,"Favorable — material","UNFAVORABLE — material"),""))</f>
        <v>UNFAVORABLE — material</v>
      </c>
    </row>
    <row r="28" customFormat="false" ht="15" hidden="false" customHeight="true" outlineLevel="0" collapsed="false">
      <c r="A28" s="25" t="s">
        <v>111</v>
      </c>
      <c r="B28" s="26" t="n">
        <f aca="false">Data_Actuals!$H$18</f>
        <v>240</v>
      </c>
      <c r="C28" s="26" t="n">
        <f aca="false">Data_Budget!$H$18</f>
        <v>200</v>
      </c>
      <c r="D28" s="27" t="n">
        <f aca="false">B28-C28</f>
        <v>40</v>
      </c>
      <c r="E28" s="15" t="n">
        <f aca="false">IF(C28=0,"n/m",D28/ABS(C28))</f>
        <v>0.2</v>
      </c>
      <c r="F28" s="19" t="str">
        <f aca="false">IF(E28="n/m","n/m — see note",IF(AND(ABS(D28)&gt;=Inputs!$C$37,ABS(E28)&gt;=Inputs!$C$38),IF(D28&lt;0,"Favorable — material","UNFAVORABLE — material"),""))</f>
        <v/>
      </c>
      <c r="G28" s="26" t="n">
        <f aca="false">SUM(Data_Actuals!$D$18:$H$18)</f>
        <v>1000</v>
      </c>
      <c r="H28" s="26" t="n">
        <f aca="false">SUM(Data_Budget!$D$18:$H$18)</f>
        <v>950</v>
      </c>
      <c r="I28" s="27" t="n">
        <f aca="false">G28-H28</f>
        <v>50</v>
      </c>
      <c r="J28" s="15" t="n">
        <f aca="false">IF(H28=0,"n/m",I28/ABS(H28))</f>
        <v>0.0526315789473684</v>
      </c>
      <c r="K28" s="19" t="str">
        <f aca="false">IF(J28="n/m","n/m — see note",IF(AND(ABS(I28)&gt;=Inputs!$C$37,ABS(J28)&gt;=Inputs!$C$38),IF(I28&lt;0,"Favorable — material","UNFAVORABLE — material"),""))</f>
        <v/>
      </c>
    </row>
    <row r="29" customFormat="false" ht="15" hidden="false" customHeight="true" outlineLevel="0" collapsed="false">
      <c r="A29" s="25" t="s">
        <v>112</v>
      </c>
      <c r="B29" s="26" t="n">
        <f aca="false">Data_Actuals!$H$19</f>
        <v>175</v>
      </c>
      <c r="C29" s="26" t="n">
        <f aca="false">Data_Budget!$H$19</f>
        <v>80</v>
      </c>
      <c r="D29" s="27" t="n">
        <f aca="false">B29-C29</f>
        <v>95</v>
      </c>
      <c r="E29" s="15" t="n">
        <f aca="false">IF(C29=0,"n/m",D29/ABS(C29))</f>
        <v>1.1875</v>
      </c>
      <c r="F29" s="19" t="str">
        <f aca="false">IF(E29="n/m","n/m — see note",IF(AND(ABS(D29)&gt;=Inputs!$C$37,ABS(E29)&gt;=Inputs!$C$38),IF(D29&lt;0,"Favorable — material","UNFAVORABLE — material"),""))</f>
        <v>UNFAVORABLE — material</v>
      </c>
      <c r="G29" s="26" t="n">
        <f aca="false">SUM(Data_Actuals!$D$19:$H$19)</f>
        <v>503</v>
      </c>
      <c r="H29" s="26" t="n">
        <f aca="false">SUM(Data_Budget!$D$19:$H$19)</f>
        <v>370</v>
      </c>
      <c r="I29" s="27" t="n">
        <f aca="false">G29-H29</f>
        <v>133</v>
      </c>
      <c r="J29" s="15" t="n">
        <f aca="false">IF(H29=0,"n/m",I29/ABS(H29))</f>
        <v>0.359459459459459</v>
      </c>
      <c r="K29" s="19" t="str">
        <f aca="false">IF(J29="n/m","n/m — see note",IF(AND(ABS(I29)&gt;=Inputs!$C$37,ABS(J29)&gt;=Inputs!$C$38),IF(I29&lt;0,"Favorable — material","UNFAVORABLE — material"),""))</f>
        <v>UNFAVORABLE — material</v>
      </c>
    </row>
    <row r="30" customFormat="false" ht="15" hidden="false" customHeight="true" outlineLevel="0" collapsed="false">
      <c r="A30" s="25" t="s">
        <v>113</v>
      </c>
      <c r="B30" s="26" t="n">
        <f aca="false">Data_Actuals!$H$20</f>
        <v>165</v>
      </c>
      <c r="C30" s="26" t="n">
        <f aca="false">Data_Budget!$H$20</f>
        <v>120</v>
      </c>
      <c r="D30" s="27" t="n">
        <f aca="false">B30-C30</f>
        <v>45</v>
      </c>
      <c r="E30" s="15" t="n">
        <f aca="false">IF(C30=0,"n/m",D30/ABS(C30))</f>
        <v>0.375</v>
      </c>
      <c r="F30" s="19" t="str">
        <f aca="false">IF(E30="n/m","n/m — see note",IF(AND(ABS(D30)&gt;=Inputs!$C$37,ABS(E30)&gt;=Inputs!$C$38),IF(D30&lt;0,"Favorable — material","UNFAVORABLE — material"),""))</f>
        <v/>
      </c>
      <c r="G30" s="26" t="n">
        <f aca="false">SUM(Data_Actuals!$D$20:$H$20)</f>
        <v>690</v>
      </c>
      <c r="H30" s="26" t="n">
        <f aca="false">SUM(Data_Budget!$D$20:$H$20)</f>
        <v>560</v>
      </c>
      <c r="I30" s="27" t="n">
        <f aca="false">G30-H30</f>
        <v>130</v>
      </c>
      <c r="J30" s="15" t="n">
        <f aca="false">IF(H30=0,"n/m",I30/ABS(H30))</f>
        <v>0.232142857142857</v>
      </c>
      <c r="K30" s="19" t="str">
        <f aca="false">IF(J30="n/m","n/m — see note",IF(AND(ABS(I30)&gt;=Inputs!$C$37,ABS(J30)&gt;=Inputs!$C$38),IF(I30&lt;0,"Favorable — material","UNFAVORABLE — material"),""))</f>
        <v>UNFAVORABLE — material</v>
      </c>
    </row>
    <row r="31" customFormat="false" ht="15" hidden="false" customHeight="true" outlineLevel="0" collapsed="false">
      <c r="A31" s="25" t="s">
        <v>114</v>
      </c>
      <c r="B31" s="26" t="n">
        <f aca="false">Data_Actuals!$H$21</f>
        <v>92</v>
      </c>
      <c r="C31" s="26" t="n">
        <f aca="false">Data_Budget!$H$21</f>
        <v>84</v>
      </c>
      <c r="D31" s="27" t="n">
        <f aca="false">B31-C31</f>
        <v>8</v>
      </c>
      <c r="E31" s="15" t="n">
        <f aca="false">IF(C31=0,"n/m",D31/ABS(C31))</f>
        <v>0.0952380952380952</v>
      </c>
      <c r="F31" s="19" t="str">
        <f aca="false">IF(E31="n/m","n/m — see note",IF(AND(ABS(D31)&gt;=Inputs!$C$37,ABS(E31)&gt;=Inputs!$C$38),IF(D31&lt;0,"Favorable — material","UNFAVORABLE — material"),""))</f>
        <v/>
      </c>
      <c r="G31" s="26" t="n">
        <f aca="false">SUM(Data_Actuals!$D$21:$H$21)</f>
        <v>425</v>
      </c>
      <c r="H31" s="26" t="n">
        <f aca="false">SUM(Data_Budget!$D$21:$H$21)</f>
        <v>408</v>
      </c>
      <c r="I31" s="27" t="n">
        <f aca="false">G31-H31</f>
        <v>17</v>
      </c>
      <c r="J31" s="15" t="n">
        <f aca="false">IF(H31=0,"n/m",I31/ABS(H31))</f>
        <v>0.0416666666666667</v>
      </c>
      <c r="K31" s="19" t="str">
        <f aca="false">IF(J31="n/m","n/m — see note",IF(AND(ABS(I31)&gt;=Inputs!$C$37,ABS(J31)&gt;=Inputs!$C$38),IF(I31&lt;0,"Favorable — material","UNFAVORABLE — material"),""))</f>
        <v/>
      </c>
    </row>
    <row r="32" customFormat="false" ht="15" hidden="false" customHeight="true" outlineLevel="0" collapsed="false">
      <c r="A32" s="25" t="s">
        <v>115</v>
      </c>
      <c r="B32" s="26" t="n">
        <f aca="false">Data_Actuals!$H$22</f>
        <v>115</v>
      </c>
      <c r="C32" s="26" t="n">
        <f aca="false">Data_Budget!$H$22</f>
        <v>112</v>
      </c>
      <c r="D32" s="27" t="n">
        <f aca="false">B32-C32</f>
        <v>3</v>
      </c>
      <c r="E32" s="15" t="n">
        <f aca="false">IF(C32=0,"n/m",D32/ABS(C32))</f>
        <v>0.0267857142857143</v>
      </c>
      <c r="F32" s="19" t="str">
        <f aca="false">IF(E32="n/m","n/m — see note",IF(AND(ABS(D32)&gt;=Inputs!$C$37,ABS(E32)&gt;=Inputs!$C$38),IF(D32&lt;0,"Favorable — material","UNFAVORABLE — material"),""))</f>
        <v/>
      </c>
      <c r="G32" s="26" t="n">
        <f aca="false">SUM(Data_Actuals!$D$22:$H$22)</f>
        <v>559</v>
      </c>
      <c r="H32" s="26" t="n">
        <f aca="false">SUM(Data_Budget!$D$22:$H$22)</f>
        <v>554</v>
      </c>
      <c r="I32" s="27" t="n">
        <f aca="false">G32-H32</f>
        <v>5</v>
      </c>
      <c r="J32" s="15" t="n">
        <f aca="false">IF(H32=0,"n/m",I32/ABS(H32))</f>
        <v>0.00902527075812274</v>
      </c>
      <c r="K32" s="19" t="str">
        <f aca="false">IF(J32="n/m","n/m — see note",IF(AND(ABS(I32)&gt;=Inputs!$C$37,ABS(J32)&gt;=Inputs!$C$38),IF(I32&lt;0,"Favorable — material","UNFAVORABLE — material"),""))</f>
        <v/>
      </c>
    </row>
    <row r="33" customFormat="false" ht="15" hidden="false" customHeight="true" outlineLevel="0" collapsed="false">
      <c r="A33" s="25" t="s">
        <v>116</v>
      </c>
      <c r="B33" s="26" t="n">
        <f aca="false">Data_Actuals!$H$23</f>
        <v>60</v>
      </c>
      <c r="C33" s="26" t="n">
        <f aca="false">Data_Budget!$H$23</f>
        <v>50</v>
      </c>
      <c r="D33" s="27" t="n">
        <f aca="false">B33-C33</f>
        <v>10</v>
      </c>
      <c r="E33" s="15" t="n">
        <f aca="false">IF(C33=0,"n/m",D33/ABS(C33))</f>
        <v>0.2</v>
      </c>
      <c r="F33" s="19" t="str">
        <f aca="false">IF(E33="n/m","n/m — see note",IF(AND(ABS(D33)&gt;=Inputs!$C$37,ABS(E33)&gt;=Inputs!$C$38),IF(D33&lt;0,"Favorable — material","UNFAVORABLE — material"),""))</f>
        <v/>
      </c>
      <c r="G33" s="26" t="n">
        <f aca="false">SUM(Data_Actuals!$D$23:$H$23)</f>
        <v>236</v>
      </c>
      <c r="H33" s="26" t="n">
        <f aca="false">SUM(Data_Budget!$D$23:$H$23)</f>
        <v>236</v>
      </c>
      <c r="I33" s="27" t="n">
        <f aca="false">G33-H33</f>
        <v>0</v>
      </c>
      <c r="J33" s="15" t="n">
        <f aca="false">IF(H33=0,"n/m",I33/ABS(H33))</f>
        <v>0</v>
      </c>
      <c r="K33" s="19" t="str">
        <f aca="false">IF(J33="n/m","n/m — see note",IF(AND(ABS(I33)&gt;=Inputs!$C$37,ABS(J33)&gt;=Inputs!$C$38),IF(I33&lt;0,"Favorable — material","UNFAVORABLE — material"),""))</f>
        <v/>
      </c>
    </row>
    <row r="34" customFormat="false" ht="15" hidden="false" customHeight="true" outlineLevel="0" collapsed="false">
      <c r="A34" s="28" t="s">
        <v>117</v>
      </c>
      <c r="B34" s="29" t="n">
        <f aca="false">SUM(B24:B33)</f>
        <v>4342</v>
      </c>
      <c r="C34" s="29" t="n">
        <f aca="false">SUM(C24:C33)</f>
        <v>3891</v>
      </c>
      <c r="D34" s="27" t="n">
        <f aca="false">B34-C34</f>
        <v>451</v>
      </c>
      <c r="E34" s="15" t="n">
        <f aca="false">IF(C34=0,"n/m",D34/ABS(C34))</f>
        <v>0.115908506810589</v>
      </c>
      <c r="F34" s="19" t="str">
        <f aca="false">IF(E34="n/m","n/m — see note",IF(AND(ABS(D34)&gt;=Inputs!$C$37,ABS(E34)&gt;=Inputs!$C$38),IF(D34&lt;0,"Favorable — material","UNFAVORABLE — material"),""))</f>
        <v>UNFAVORABLE — material</v>
      </c>
      <c r="G34" s="29" t="n">
        <f aca="false">SUM(G24:G33)</f>
        <v>19763</v>
      </c>
      <c r="H34" s="29" t="n">
        <f aca="false">SUM(H24:H33)</f>
        <v>18803</v>
      </c>
      <c r="I34" s="27" t="n">
        <f aca="false">G34-H34</f>
        <v>960</v>
      </c>
      <c r="J34" s="15" t="n">
        <f aca="false">IF(H34=0,"n/m",I34/ABS(H34))</f>
        <v>0.0510556826038398</v>
      </c>
      <c r="K34" s="19" t="str">
        <f aca="false">IF(J34="n/m","n/m — see note",IF(AND(ABS(I34)&gt;=Inputs!$C$37,ABS(J34)&gt;=Inputs!$C$38),IF(I34&lt;0,"Favorable — material","UNFAVORABLE — material"),""))</f>
        <v/>
      </c>
    </row>
    <row r="35" customFormat="false" ht="15" hidden="false" customHeight="true" outlineLevel="0" collapsed="false">
      <c r="A35" s="28" t="s">
        <v>118</v>
      </c>
      <c r="B35" s="30" t="n">
        <f aca="false">B22-B34</f>
        <v>-1656</v>
      </c>
      <c r="C35" s="30" t="n">
        <f aca="false">C22-C34</f>
        <v>-1213</v>
      </c>
      <c r="D35" s="27" t="n">
        <f aca="false">B35-C35</f>
        <v>-443</v>
      </c>
      <c r="E35" s="15" t="n">
        <f aca="false">IF(C35=0,"n/m",D35/ABS(C35))</f>
        <v>-0.365210222588623</v>
      </c>
      <c r="F35" s="19" t="str">
        <f aca="false">IF(E35="n/m","n/m — see note",IF(AND(ABS(D35)&gt;=Inputs!$C$37,ABS(E35)&gt;=Inputs!$C$38),IF(D35&gt;0,"Favorable — material","UNFAVORABLE — material"),""))</f>
        <v>UNFAVORABLE — material</v>
      </c>
      <c r="G35" s="30" t="n">
        <f aca="false">G22-G34</f>
        <v>-7028</v>
      </c>
      <c r="H35" s="30" t="n">
        <f aca="false">H22-H34</f>
        <v>-6158</v>
      </c>
      <c r="I35" s="27" t="n">
        <f aca="false">G35-H35</f>
        <v>-870</v>
      </c>
      <c r="J35" s="15" t="n">
        <f aca="false">IF(H35=0,"n/m",I35/ABS(H35))</f>
        <v>-0.141279636245534</v>
      </c>
      <c r="K35" s="19" t="str">
        <f aca="false">IF(J35="n/m","n/m — see note",IF(AND(ABS(I35)&gt;=Inputs!$C$37,ABS(J35)&gt;=Inputs!$C$38),IF(I35&gt;0,"Favorable — material","UNFAVORABLE — material"),""))</f>
        <v>UNFAVORABLE — material</v>
      </c>
    </row>
    <row r="36" customFormat="false" ht="15" hidden="false" customHeight="true" outlineLevel="0" collapsed="false">
      <c r="A36" s="25" t="s">
        <v>119</v>
      </c>
      <c r="B36" s="26" t="n">
        <f aca="false">Data_Actuals!$H$11</f>
        <v>1450</v>
      </c>
      <c r="C36" s="26" t="n">
        <f aca="false">Data_Budget!$H$11</f>
        <v>0</v>
      </c>
      <c r="D36" s="27" t="n">
        <f aca="false">B36-C36</f>
        <v>1450</v>
      </c>
      <c r="E36" s="15" t="str">
        <f aca="false">IF(C36=0,"n/m",D36/ABS(C36))</f>
        <v>n/m</v>
      </c>
      <c r="F36" s="19" t="str">
        <f aca="false">IF(E36="n/m","n/m — see note",IF(AND(ABS(D36)&gt;=Inputs!$C$37,ABS(E36)&gt;=Inputs!$C$38),IF(D36&gt;0,"Favorable — material","UNFAVORABLE — material"),""))</f>
        <v>n/m — see note</v>
      </c>
      <c r="G36" s="26" t="n">
        <f aca="false">SUM(Data_Actuals!$D$11:$H$11)</f>
        <v>2300</v>
      </c>
      <c r="H36" s="26" t="n">
        <f aca="false">SUM(Data_Budget!$D$11:$H$11)</f>
        <v>0</v>
      </c>
      <c r="I36" s="27" t="n">
        <f aca="false">G36-H36</f>
        <v>2300</v>
      </c>
      <c r="J36" s="15" t="str">
        <f aca="false">IF(H36=0,"n/m",I36/ABS(H36))</f>
        <v>n/m</v>
      </c>
      <c r="K36" s="19" t="str">
        <f aca="false">IF(J36="n/m","n/m — see note",IF(AND(ABS(I36)&gt;=Inputs!$C$37,ABS(J36)&gt;=Inputs!$C$38),IF(I36&gt;0,"Favorable — material","UNFAVORABLE — material"),""))</f>
        <v>n/m — see note</v>
      </c>
    </row>
    <row r="37" customFormat="false" ht="15" hidden="false" customHeight="true" outlineLevel="0" collapsed="false">
      <c r="A37" s="28" t="s">
        <v>120</v>
      </c>
      <c r="B37" s="30" t="n">
        <f aca="false">B35+B36</f>
        <v>-206</v>
      </c>
      <c r="C37" s="30" t="n">
        <f aca="false">C35+C36</f>
        <v>-1213</v>
      </c>
      <c r="D37" s="27" t="n">
        <f aca="false">B37-C37</f>
        <v>1007</v>
      </c>
      <c r="E37" s="15" t="n">
        <f aca="false">IF(C37=0,"n/m",D37/ABS(C37))</f>
        <v>0.830173124484749</v>
      </c>
      <c r="F37" s="19" t="str">
        <f aca="false">IF(E37="n/m","n/m — see note",IF(AND(ABS(D37)&gt;=Inputs!$C$37,ABS(E37)&gt;=Inputs!$C$38),IF(D37&gt;0,"Favorable — material","UNFAVORABLE — material"),""))</f>
        <v>Favorable — material</v>
      </c>
      <c r="G37" s="30" t="n">
        <f aca="false">G35+G36</f>
        <v>-4728</v>
      </c>
      <c r="H37" s="30" t="n">
        <f aca="false">H35+H36</f>
        <v>-6158</v>
      </c>
      <c r="I37" s="27" t="n">
        <f aca="false">G37-H37</f>
        <v>1430</v>
      </c>
      <c r="J37" s="15" t="n">
        <f aca="false">IF(H37=0,"n/m",I37/ABS(H37))</f>
        <v>0.232218252679441</v>
      </c>
      <c r="K37" s="19" t="str">
        <f aca="false">IF(J37="n/m","n/m — see note",IF(AND(ABS(I37)&gt;=Inputs!$C$37,ABS(J37)&gt;=Inputs!$C$38),IF(I37&gt;0,"Favorable — material","UNFAVORABLE — material"),""))</f>
        <v>Favorable — material</v>
      </c>
    </row>
    <row r="39" customFormat="false" ht="15" hidden="false" customHeight="true" outlineLevel="0" collapsed="false">
      <c r="A39" s="21" t="s">
        <v>121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</row>
    <row r="40" customFormat="false" ht="15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</row>
  </sheetData>
  <mergeCells count="2">
    <mergeCell ref="A2:L2"/>
    <mergeCell ref="A39:K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9" min="2" style="1" width="10"/>
    <col collapsed="false" customWidth="true" hidden="false" outlineLevel="0" max="10" min="10" style="1" width="3"/>
    <col collapsed="false" customWidth="true" hidden="false" outlineLevel="0" max="18" min="11" style="1" width="10"/>
  </cols>
  <sheetData>
    <row r="1" customFormat="false" ht="17.25" hidden="false" customHeight="true" outlineLevel="0" collapsed="false">
      <c r="A1" s="6" t="s">
        <v>122</v>
      </c>
    </row>
    <row r="2" customFormat="false" ht="42" hidden="false" customHeight="true" outlineLevel="0" collapsed="false">
      <c r="A2" s="21" t="s">
        <v>123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</row>
    <row r="4" customFormat="false" ht="15" hidden="false" customHeight="true" outlineLevel="0" collapsed="false">
      <c r="A4" s="7" t="s">
        <v>124</v>
      </c>
      <c r="B4" s="7"/>
      <c r="C4" s="7"/>
      <c r="D4" s="7"/>
      <c r="E4" s="7"/>
    </row>
    <row r="5" customFormat="false" ht="137.25" hidden="false" customHeight="true" outlineLevel="0" collapsed="false">
      <c r="A5" s="28" t="s">
        <v>125</v>
      </c>
      <c r="C5" s="31" t="n">
        <f aca="false">I39</f>
        <v>-17149.3315881134</v>
      </c>
      <c r="D5" s="9" t="s">
        <v>126</v>
      </c>
    </row>
    <row r="6" customFormat="false" ht="15" hidden="false" customHeight="true" outlineLevel="0" collapsed="false">
      <c r="A6" s="28" t="s">
        <v>127</v>
      </c>
      <c r="C6" s="31" t="n">
        <f aca="false">R39</f>
        <v>-18526.7228263955</v>
      </c>
    </row>
    <row r="7" customFormat="false" ht="15" hidden="false" customHeight="true" outlineLevel="0" collapsed="false">
      <c r="A7" s="28" t="s">
        <v>128</v>
      </c>
      <c r="C7" s="31" t="n">
        <f aca="false">C5-C6</f>
        <v>1377.39123828208</v>
      </c>
    </row>
    <row r="8" customFormat="false" ht="15" hidden="false" customHeight="true" outlineLevel="0" collapsed="false">
      <c r="A8" s="25" t="s">
        <v>129</v>
      </c>
      <c r="C8" s="27" t="n">
        <f aca="false">I41</f>
        <v>-14849.3315881134</v>
      </c>
      <c r="D8" s="27" t="n">
        <f aca="false">R41</f>
        <v>-19682.7228263955</v>
      </c>
    </row>
    <row r="9" customFormat="false" ht="15" hidden="false" customHeight="true" outlineLevel="0" collapsed="false">
      <c r="A9" s="7" t="s">
        <v>130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</row>
    <row r="10" customFormat="false" ht="15" hidden="false" customHeight="true" outlineLevel="0" collapsed="false">
      <c r="A10" s="28" t="s">
        <v>131</v>
      </c>
      <c r="B10" s="32" t="s">
        <v>132</v>
      </c>
      <c r="C10" s="32" t="s">
        <v>133</v>
      </c>
      <c r="D10" s="32" t="s">
        <v>134</v>
      </c>
      <c r="E10" s="32" t="s">
        <v>135</v>
      </c>
      <c r="F10" s="32" t="s">
        <v>136</v>
      </c>
      <c r="G10" s="32" t="s">
        <v>137</v>
      </c>
      <c r="H10" s="32" t="s">
        <v>138</v>
      </c>
      <c r="I10" s="32" t="s">
        <v>139</v>
      </c>
      <c r="K10" s="32" t="s">
        <v>140</v>
      </c>
      <c r="L10" s="32" t="s">
        <v>141</v>
      </c>
      <c r="M10" s="32" t="s">
        <v>142</v>
      </c>
      <c r="N10" s="32" t="s">
        <v>143</v>
      </c>
      <c r="O10" s="32" t="s">
        <v>144</v>
      </c>
      <c r="P10" s="32" t="s">
        <v>145</v>
      </c>
      <c r="Q10" s="32" t="s">
        <v>146</v>
      </c>
      <c r="R10" s="32" t="s">
        <v>147</v>
      </c>
    </row>
    <row r="11" customFormat="false" ht="15" hidden="false" customHeight="true" outlineLevel="0" collapsed="false">
      <c r="A11" s="25" t="s">
        <v>148</v>
      </c>
      <c r="B11" s="12" t="n">
        <f aca="false">Inputs!$C$5</f>
        <v>108000</v>
      </c>
      <c r="C11" s="12" t="n">
        <f aca="false">B11</f>
        <v>108000</v>
      </c>
      <c r="D11" s="12" t="n">
        <f aca="false">C11</f>
        <v>108000</v>
      </c>
      <c r="E11" s="12" t="n">
        <f aca="false">D11</f>
        <v>108000</v>
      </c>
      <c r="F11" s="12" t="n">
        <f aca="false">E11</f>
        <v>108000</v>
      </c>
      <c r="G11" s="12" t="n">
        <f aca="false">F11</f>
        <v>108000</v>
      </c>
      <c r="H11" s="12" t="n">
        <f aca="false">G11</f>
        <v>108000</v>
      </c>
      <c r="K11" s="12" t="n">
        <f aca="false">Inputs!$C$5*(1+Inputs!$C$6)</f>
        <v>64800</v>
      </c>
      <c r="L11" s="12" t="n">
        <f aca="false">K11</f>
        <v>64800</v>
      </c>
      <c r="M11" s="12" t="n">
        <f aca="false">L11</f>
        <v>64800</v>
      </c>
      <c r="N11" s="12" t="n">
        <f aca="false">M11</f>
        <v>64800</v>
      </c>
      <c r="O11" s="12" t="n">
        <f aca="false">N11</f>
        <v>64800</v>
      </c>
      <c r="P11" s="12" t="n">
        <f aca="false">O11</f>
        <v>64800</v>
      </c>
      <c r="Q11" s="12" t="n">
        <f aca="false">P11</f>
        <v>64800</v>
      </c>
    </row>
    <row r="12" customFormat="false" ht="15" hidden="false" customHeight="true" outlineLevel="0" collapsed="false">
      <c r="A12" s="25" t="s">
        <v>149</v>
      </c>
      <c r="B12" s="33" t="n">
        <f aca="false">Data_KPIs!$G$9*(1+Inputs!$C$15)</f>
        <v>4975.86997079703</v>
      </c>
      <c r="C12" s="33" t="n">
        <f aca="false">B12*(1+Inputs!$C$15)</f>
        <v>5147.4598682494</v>
      </c>
      <c r="D12" s="33" t="n">
        <f aca="false">C12*(1+Inputs!$C$15)</f>
        <v>5324.96694060395</v>
      </c>
      <c r="E12" s="33" t="n">
        <f aca="false">D12*(1+Inputs!$C$15)</f>
        <v>5508.59523809524</v>
      </c>
      <c r="F12" s="33" t="n">
        <f aca="false">E12*(1+Inputs!$C$15)</f>
        <v>5698.55584750802</v>
      </c>
      <c r="G12" s="33" t="n">
        <f aca="false">F12*(1+Inputs!$C$15)</f>
        <v>5895.06713482848</v>
      </c>
      <c r="H12" s="33" t="n">
        <f aca="false">G12*(1+Inputs!$C$15)</f>
        <v>6098.35499626309</v>
      </c>
      <c r="K12" s="33" t="n">
        <f aca="false">Data_KPIs!$G$9*(1+Inputs!$C$15)</f>
        <v>4975.86997079703</v>
      </c>
      <c r="L12" s="33" t="n">
        <f aca="false">K12*(1+Inputs!$C$15)</f>
        <v>5147.4598682494</v>
      </c>
      <c r="M12" s="33" t="n">
        <f aca="false">L12*(1+Inputs!$C$15)</f>
        <v>5324.96694060395</v>
      </c>
      <c r="N12" s="33" t="n">
        <f aca="false">M12*(1+Inputs!$C$15)</f>
        <v>5508.59523809524</v>
      </c>
      <c r="O12" s="33" t="n">
        <f aca="false">N12*(1+Inputs!$C$15)</f>
        <v>5698.55584750802</v>
      </c>
      <c r="P12" s="33" t="n">
        <f aca="false">O12*(1+Inputs!$C$15)</f>
        <v>5895.06713482848</v>
      </c>
      <c r="Q12" s="33" t="n">
        <f aca="false">P12*(1+Inputs!$C$15)</f>
        <v>6098.35499626309</v>
      </c>
    </row>
    <row r="13" customFormat="false" ht="15" hidden="false" customHeight="true" outlineLevel="0" collapsed="false">
      <c r="A13" s="25" t="s">
        <v>150</v>
      </c>
      <c r="B13" s="33" t="n">
        <f aca="false">Data_KPIs!$G$6*(1+Inputs!$C$11)</f>
        <v>6190</v>
      </c>
      <c r="C13" s="33" t="n">
        <f aca="false">B13*(1+Inputs!$C$11)</f>
        <v>6190</v>
      </c>
      <c r="D13" s="33" t="n">
        <f aca="false">C13*(1+Inputs!$C$11)</f>
        <v>6190</v>
      </c>
      <c r="E13" s="33" t="n">
        <f aca="false">D13*(1+Inputs!$C$11)</f>
        <v>6190</v>
      </c>
      <c r="F13" s="33" t="n">
        <f aca="false">E13*(1+Inputs!$C$11)</f>
        <v>6190</v>
      </c>
      <c r="G13" s="33" t="n">
        <f aca="false">F13*(1+Inputs!$C$11)</f>
        <v>6190</v>
      </c>
      <c r="H13" s="33" t="n">
        <f aca="false">G13*(1+Inputs!$C$11)</f>
        <v>6190</v>
      </c>
      <c r="K13" s="33" t="n">
        <f aca="false">Data_KPIs!$G$6*(1+Inputs!$C$11)</f>
        <v>6190</v>
      </c>
      <c r="L13" s="33" t="n">
        <f aca="false">K13*(1+Inputs!$C$11)</f>
        <v>6190</v>
      </c>
      <c r="M13" s="33" t="n">
        <f aca="false">L13*(1+Inputs!$C$11)</f>
        <v>6190</v>
      </c>
      <c r="N13" s="33" t="n">
        <f aca="false">M13*(1+Inputs!$C$11)</f>
        <v>6190</v>
      </c>
      <c r="O13" s="33" t="n">
        <f aca="false">N13*(1+Inputs!$C$11)</f>
        <v>6190</v>
      </c>
      <c r="P13" s="33" t="n">
        <f aca="false">O13*(1+Inputs!$C$11)</f>
        <v>6190</v>
      </c>
      <c r="Q13" s="33" t="n">
        <f aca="false">P13*(1+Inputs!$C$11)</f>
        <v>6190</v>
      </c>
    </row>
    <row r="15" customFormat="false" ht="15" hidden="false" customHeight="true" outlineLevel="0" collapsed="false">
      <c r="A15" s="7" t="s">
        <v>151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</row>
    <row r="16" customFormat="false" ht="15" hidden="false" customHeight="true" outlineLevel="0" collapsed="false">
      <c r="A16" s="25" t="s">
        <v>152</v>
      </c>
      <c r="B16" s="27" t="n">
        <f aca="false">B13*Inputs!$C$12/1000</f>
        <v>495.2</v>
      </c>
      <c r="C16" s="27" t="n">
        <f aca="false">C13*Inputs!$C$12/1000</f>
        <v>495.2</v>
      </c>
      <c r="D16" s="27" t="n">
        <f aca="false">D13*Inputs!$C$12/1000</f>
        <v>495.2</v>
      </c>
      <c r="E16" s="27" t="n">
        <f aca="false">E13*Inputs!$C$12/1000</f>
        <v>495.2</v>
      </c>
      <c r="F16" s="27" t="n">
        <f aca="false">F13*Inputs!$C$12/1000</f>
        <v>495.2</v>
      </c>
      <c r="G16" s="27" t="n">
        <f aca="false">G13*Inputs!$C$12/1000</f>
        <v>495.2</v>
      </c>
      <c r="H16" s="27" t="n">
        <f aca="false">H13*Inputs!$C$12/1000</f>
        <v>495.2</v>
      </c>
      <c r="I16" s="29" t="n">
        <f aca="false">SUM(Data_Actuals!$D$5:$H$5)+SUM(B16:H16)</f>
        <v>6411.4</v>
      </c>
      <c r="K16" s="27" t="n">
        <f aca="false">K13*Inputs!$C$12/1000</f>
        <v>495.2</v>
      </c>
      <c r="L16" s="27" t="n">
        <f aca="false">L13*Inputs!$C$12/1000</f>
        <v>495.2</v>
      </c>
      <c r="M16" s="27" t="n">
        <f aca="false">M13*Inputs!$C$12/1000</f>
        <v>495.2</v>
      </c>
      <c r="N16" s="27" t="n">
        <f aca="false">N13*Inputs!$C$12/1000</f>
        <v>495.2</v>
      </c>
      <c r="O16" s="27" t="n">
        <f aca="false">O13*Inputs!$C$12/1000</f>
        <v>495.2</v>
      </c>
      <c r="P16" s="27" t="n">
        <f aca="false">P13*Inputs!$C$12/1000</f>
        <v>495.2</v>
      </c>
      <c r="Q16" s="27" t="n">
        <f aca="false">Q13*Inputs!$C$12/1000</f>
        <v>495.2</v>
      </c>
      <c r="R16" s="29" t="n">
        <f aca="false">SUM(Data_Actuals!$D$5:$H$5)+SUM(K16:Q16)</f>
        <v>6411.4</v>
      </c>
    </row>
    <row r="17" customFormat="false" ht="15" hidden="false" customHeight="true" outlineLevel="0" collapsed="false">
      <c r="A17" s="25" t="s">
        <v>153</v>
      </c>
      <c r="B17" s="27" t="n">
        <f aca="false">Data_Actuals!$H$6*(1+Inputs!$C$14)</f>
        <v>248.147113899442</v>
      </c>
      <c r="C17" s="27" t="n">
        <f aca="false">B17*(1+Inputs!$C$14)</f>
        <v>256.570792235927</v>
      </c>
      <c r="D17" s="27" t="n">
        <f aca="false">C17*(1+Inputs!$C$14)</f>
        <v>265.280423350995</v>
      </c>
      <c r="E17" s="27" t="n">
        <f aca="false">D17*(1+Inputs!$C$14)</f>
        <v>274.285714285714</v>
      </c>
      <c r="F17" s="27" t="n">
        <f aca="false">E17*(1+Inputs!$C$14)</f>
        <v>283.596701599362</v>
      </c>
      <c r="G17" s="27" t="n">
        <f aca="false">F17*(1+Inputs!$C$14)</f>
        <v>293.223762555346</v>
      </c>
      <c r="H17" s="27" t="n">
        <f aca="false">G17*(1+Inputs!$C$14)</f>
        <v>303.177626686851</v>
      </c>
      <c r="I17" s="29" t="n">
        <f aca="false">SUM(Data_Actuals!$D$6:$H$6)+SUM(B17:H17)</f>
        <v>3050.28213461364</v>
      </c>
      <c r="K17" s="27" t="n">
        <f aca="false">Data_Actuals!$H$6*(1+Inputs!$C$14)</f>
        <v>248.147113899442</v>
      </c>
      <c r="L17" s="27" t="n">
        <f aca="false">K17*(1+Inputs!$C$14)</f>
        <v>256.570792235927</v>
      </c>
      <c r="M17" s="27" t="n">
        <f aca="false">L17*(1+Inputs!$C$14)</f>
        <v>265.280423350995</v>
      </c>
      <c r="N17" s="27" t="n">
        <f aca="false">M17*(1+Inputs!$C$14)</f>
        <v>274.285714285714</v>
      </c>
      <c r="O17" s="27" t="n">
        <f aca="false">N17*(1+Inputs!$C$14)</f>
        <v>283.596701599362</v>
      </c>
      <c r="P17" s="27" t="n">
        <f aca="false">O17*(1+Inputs!$C$14)</f>
        <v>293.223762555346</v>
      </c>
      <c r="Q17" s="27" t="n">
        <f aca="false">P17*(1+Inputs!$C$14)</f>
        <v>303.177626686851</v>
      </c>
      <c r="R17" s="29" t="n">
        <f aca="false">SUM(Data_Actuals!$D$6:$H$6)+SUM(K17:Q17)</f>
        <v>3050.28213461364</v>
      </c>
    </row>
    <row r="18" customFormat="false" ht="15" hidden="false" customHeight="true" outlineLevel="0" collapsed="false">
      <c r="A18" s="25" t="s">
        <v>154</v>
      </c>
      <c r="B18" s="27" t="n">
        <f aca="false">B16*Inputs!$C$13</f>
        <v>75.4990831918506</v>
      </c>
      <c r="C18" s="27" t="n">
        <f aca="false">C16*Inputs!$C$13</f>
        <v>75.4990831918506</v>
      </c>
      <c r="D18" s="27" t="n">
        <f aca="false">D16*Inputs!$C$13</f>
        <v>75.4990831918506</v>
      </c>
      <c r="E18" s="27" t="n">
        <f aca="false">E16*Inputs!$C$13</f>
        <v>75.4990831918506</v>
      </c>
      <c r="F18" s="27" t="n">
        <f aca="false">F16*Inputs!$C$13</f>
        <v>75.4990831918506</v>
      </c>
      <c r="G18" s="27" t="n">
        <f aca="false">G16*Inputs!$C$13</f>
        <v>75.4990831918506</v>
      </c>
      <c r="H18" s="27" t="n">
        <f aca="false">H16*Inputs!$C$13</f>
        <v>75.4990831918506</v>
      </c>
      <c r="I18" s="29" t="n">
        <f aca="false">SUM(Data_Actuals!$D$7:$H$7)+SUM(B18:H18)</f>
        <v>977.493582342954</v>
      </c>
      <c r="K18" s="27" t="n">
        <f aca="false">K16*Inputs!$C$13</f>
        <v>75.4990831918506</v>
      </c>
      <c r="L18" s="27" t="n">
        <f aca="false">L16*Inputs!$C$13</f>
        <v>75.4990831918506</v>
      </c>
      <c r="M18" s="27" t="n">
        <f aca="false">M16*Inputs!$C$13</f>
        <v>75.4990831918506</v>
      </c>
      <c r="N18" s="27" t="n">
        <f aca="false">N16*Inputs!$C$13</f>
        <v>75.4990831918506</v>
      </c>
      <c r="O18" s="27" t="n">
        <f aca="false">O16*Inputs!$C$13</f>
        <v>75.4990831918506</v>
      </c>
      <c r="P18" s="27" t="n">
        <f aca="false">P16*Inputs!$C$13</f>
        <v>75.4990831918506</v>
      </c>
      <c r="Q18" s="27" t="n">
        <f aca="false">Q16*Inputs!$C$13</f>
        <v>75.4990831918506</v>
      </c>
      <c r="R18" s="29" t="n">
        <f aca="false">SUM(Data_Actuals!$D$7:$H$7)+SUM(K18:Q18)</f>
        <v>977.493582342954</v>
      </c>
    </row>
    <row r="19" customFormat="false" ht="15" hidden="false" customHeight="true" outlineLevel="0" collapsed="false">
      <c r="A19" s="34" t="s">
        <v>92</v>
      </c>
      <c r="B19" s="35" t="n">
        <f aca="false">SUM(B16:B18)</f>
        <v>818.846197091292</v>
      </c>
      <c r="C19" s="35" t="n">
        <f aca="false">SUM(C16:C18)</f>
        <v>827.269875427778</v>
      </c>
      <c r="D19" s="35" t="n">
        <f aca="false">SUM(D16:D18)</f>
        <v>835.979506542845</v>
      </c>
      <c r="E19" s="35" t="n">
        <f aca="false">SUM(E16:E18)</f>
        <v>844.984797477565</v>
      </c>
      <c r="F19" s="35" t="n">
        <f aca="false">SUM(F16:F18)</f>
        <v>854.295784791213</v>
      </c>
      <c r="G19" s="35" t="n">
        <f aca="false">SUM(G16:G18)</f>
        <v>863.922845747196</v>
      </c>
      <c r="H19" s="35" t="n">
        <f aca="false">SUM(H16:H18)</f>
        <v>873.876709878702</v>
      </c>
      <c r="I19" s="29" t="n">
        <f aca="false">SUM(I16:I18)</f>
        <v>10439.1757169566</v>
      </c>
      <c r="K19" s="35" t="n">
        <f aca="false">SUM(K16:K18)</f>
        <v>818.846197091292</v>
      </c>
      <c r="L19" s="35" t="n">
        <f aca="false">SUM(L16:L18)</f>
        <v>827.269875427778</v>
      </c>
      <c r="M19" s="35" t="n">
        <f aca="false">SUM(M16:M18)</f>
        <v>835.979506542845</v>
      </c>
      <c r="N19" s="35" t="n">
        <f aca="false">SUM(N16:N18)</f>
        <v>844.984797477565</v>
      </c>
      <c r="O19" s="35" t="n">
        <f aca="false">SUM(O16:O18)</f>
        <v>854.295784791213</v>
      </c>
      <c r="P19" s="35" t="n">
        <f aca="false">SUM(P16:P18)</f>
        <v>863.922845747196</v>
      </c>
      <c r="Q19" s="35" t="n">
        <f aca="false">SUM(Q16:Q18)</f>
        <v>873.876709878702</v>
      </c>
      <c r="R19" s="29" t="n">
        <f aca="false">SUM(R16:R18)</f>
        <v>10439.1757169566</v>
      </c>
    </row>
    <row r="20" customFormat="false" ht="15" hidden="false" customHeight="true" outlineLevel="0" collapsed="false">
      <c r="A20" s="25" t="s">
        <v>155</v>
      </c>
      <c r="B20" s="27" t="n">
        <f aca="false">B12*B11/1000*Inputs!$C$16</f>
        <v>515.350013187092</v>
      </c>
      <c r="C20" s="27" t="n">
        <f aca="false">C12*C11/1000*Inputs!$C$16</f>
        <v>533.121549910084</v>
      </c>
      <c r="D20" s="27" t="n">
        <f aca="false">D12*D11/1000*Inputs!$C$16</f>
        <v>551.505927439159</v>
      </c>
      <c r="E20" s="27" t="n">
        <f aca="false">E12*E11/1000*Inputs!$C$16</f>
        <v>570.524279222677</v>
      </c>
      <c r="F20" s="27" t="n">
        <f aca="false">F12*F11/1000*Inputs!$C$16</f>
        <v>590.198467483313</v>
      </c>
      <c r="G20" s="27" t="n">
        <f aca="false">G12*G11/1000*Inputs!$C$16</f>
        <v>610.551108349406</v>
      </c>
      <c r="H20" s="27" t="n">
        <f aca="false">H12*H11/1000*Inputs!$C$16</f>
        <v>631.605597852942</v>
      </c>
      <c r="I20" s="29" t="n">
        <f aca="false">SUM(Data_Actuals!$D$8:$H$8)+SUM(B20:H20)</f>
        <v>6092.85694344467</v>
      </c>
      <c r="K20" s="27" t="n">
        <f aca="false">K12*K11/1000*Inputs!$C$16</f>
        <v>309.210007912255</v>
      </c>
      <c r="L20" s="27" t="n">
        <f aca="false">L12*L11/1000*Inputs!$C$16</f>
        <v>319.872929946051</v>
      </c>
      <c r="M20" s="27" t="n">
        <f aca="false">M12*M11/1000*Inputs!$C$16</f>
        <v>330.903556463495</v>
      </c>
      <c r="N20" s="27" t="n">
        <f aca="false">N12*N11/1000*Inputs!$C$16</f>
        <v>342.314567533606</v>
      </c>
      <c r="O20" s="27" t="n">
        <f aca="false">O12*O11/1000*Inputs!$C$16</f>
        <v>354.119080489988</v>
      </c>
      <c r="P20" s="27" t="n">
        <f aca="false">P12*P11/1000*Inputs!$C$16</f>
        <v>366.330665009643</v>
      </c>
      <c r="Q20" s="27" t="n">
        <f aca="false">Q12*Q11/1000*Inputs!$C$16</f>
        <v>378.963358711765</v>
      </c>
      <c r="R20" s="29" t="n">
        <f aca="false">SUM(Data_Actuals!$D$8:$H$8)+SUM(K20:Q20)</f>
        <v>4491.7141660668</v>
      </c>
    </row>
    <row r="21" customFormat="false" ht="15" hidden="false" customHeight="true" outlineLevel="0" collapsed="false">
      <c r="A21" s="25" t="s">
        <v>156</v>
      </c>
      <c r="B21" s="27" t="n">
        <f aca="false">Data_Actuals!$H$9+Inputs!$C$18</f>
        <v>1412.5</v>
      </c>
      <c r="C21" s="27" t="n">
        <f aca="false">B21+Inputs!$C$18</f>
        <v>1445</v>
      </c>
      <c r="D21" s="27" t="n">
        <f aca="false">C21+Inputs!$C$18</f>
        <v>1477.5</v>
      </c>
      <c r="E21" s="27" t="n">
        <f aca="false">D21+Inputs!$C$18</f>
        <v>1510</v>
      </c>
      <c r="F21" s="27" t="n">
        <f aca="false">E21+Inputs!$C$18</f>
        <v>1542.5</v>
      </c>
      <c r="G21" s="27" t="n">
        <f aca="false">F21+Inputs!$C$18</f>
        <v>1575</v>
      </c>
      <c r="H21" s="27" t="n">
        <f aca="false">G21+Inputs!$C$18</f>
        <v>1607.5</v>
      </c>
      <c r="I21" s="29" t="n">
        <f aca="false">SUM(Data_Actuals!$D$9:$H$9)+SUM(B21:H21)</f>
        <v>17135</v>
      </c>
      <c r="K21" s="27" t="n">
        <f aca="false">Data_Actuals!$H$9+Inputs!$C$18</f>
        <v>1412.5</v>
      </c>
      <c r="L21" s="27" t="n">
        <f aca="false">K21+Inputs!$C$18</f>
        <v>1445</v>
      </c>
      <c r="M21" s="27" t="n">
        <f aca="false">L21+Inputs!$C$18</f>
        <v>1477.5</v>
      </c>
      <c r="N21" s="27" t="n">
        <f aca="false">M21+Inputs!$C$18</f>
        <v>1510</v>
      </c>
      <c r="O21" s="27" t="n">
        <f aca="false">N21+Inputs!$C$18</f>
        <v>1542.5</v>
      </c>
      <c r="P21" s="27" t="n">
        <f aca="false">O21+Inputs!$C$18</f>
        <v>1575</v>
      </c>
      <c r="Q21" s="27" t="n">
        <f aca="false">P21+Inputs!$C$18</f>
        <v>1607.5</v>
      </c>
      <c r="R21" s="29" t="n">
        <f aca="false">SUM(Data_Actuals!$D$9:$H$9)+SUM(K21:Q21)</f>
        <v>17135</v>
      </c>
    </row>
    <row r="22" customFormat="false" ht="15" hidden="false" customHeight="true" outlineLevel="0" collapsed="false">
      <c r="A22" s="25" t="s">
        <v>157</v>
      </c>
      <c r="B22" s="27" t="n">
        <f aca="false">Data_Actuals!$H$10+Inputs!$C$19</f>
        <v>721.25</v>
      </c>
      <c r="C22" s="27" t="n">
        <f aca="false">B22+Inputs!$C$19</f>
        <v>737.5</v>
      </c>
      <c r="D22" s="27" t="n">
        <f aca="false">C22+Inputs!$C$19</f>
        <v>753.75</v>
      </c>
      <c r="E22" s="27" t="n">
        <f aca="false">D22+Inputs!$C$19</f>
        <v>770</v>
      </c>
      <c r="F22" s="27" t="n">
        <f aca="false">E22+Inputs!$C$19</f>
        <v>786.25</v>
      </c>
      <c r="G22" s="27" t="n">
        <f aca="false">F22+Inputs!$C$19</f>
        <v>802.5</v>
      </c>
      <c r="H22" s="27" t="n">
        <f aca="false">G22+Inputs!$C$19</f>
        <v>818.75</v>
      </c>
      <c r="I22" s="29" t="n">
        <f aca="false">SUM(Data_Actuals!$D$10:$H$10)+SUM(B22:H22)</f>
        <v>8690</v>
      </c>
      <c r="K22" s="27" t="n">
        <f aca="false">Data_Actuals!$H$10+Inputs!$C$19</f>
        <v>721.25</v>
      </c>
      <c r="L22" s="27" t="n">
        <f aca="false">K22+Inputs!$C$19</f>
        <v>737.5</v>
      </c>
      <c r="M22" s="27" t="n">
        <f aca="false">L22+Inputs!$C$19</f>
        <v>753.75</v>
      </c>
      <c r="N22" s="27" t="n">
        <f aca="false">M22+Inputs!$C$19</f>
        <v>770</v>
      </c>
      <c r="O22" s="27" t="n">
        <f aca="false">N22+Inputs!$C$19</f>
        <v>786.25</v>
      </c>
      <c r="P22" s="27" t="n">
        <f aca="false">O22+Inputs!$C$19</f>
        <v>802.5</v>
      </c>
      <c r="Q22" s="27" t="n">
        <f aca="false">P22+Inputs!$C$19</f>
        <v>818.75</v>
      </c>
      <c r="R22" s="29" t="n">
        <f aca="false">SUM(Data_Actuals!$D$10:$H$10)+SUM(K22:Q22)</f>
        <v>8690</v>
      </c>
    </row>
    <row r="23" customFormat="false" ht="15" hidden="false" customHeight="true" outlineLevel="0" collapsed="false">
      <c r="A23" s="34" t="s">
        <v>99</v>
      </c>
      <c r="B23" s="35" t="n">
        <f aca="false">SUM(B20:B22)</f>
        <v>2649.10001318709</v>
      </c>
      <c r="C23" s="35" t="n">
        <f aca="false">SUM(C20:C22)</f>
        <v>2715.62154991008</v>
      </c>
      <c r="D23" s="35" t="n">
        <f aca="false">SUM(D20:D22)</f>
        <v>2782.75592743916</v>
      </c>
      <c r="E23" s="35" t="n">
        <f aca="false">SUM(E20:E22)</f>
        <v>2850.52427922268</v>
      </c>
      <c r="F23" s="35" t="n">
        <f aca="false">SUM(F20:F22)</f>
        <v>2918.94846748331</v>
      </c>
      <c r="G23" s="35" t="n">
        <f aca="false">SUM(G20:G22)</f>
        <v>2988.05110834941</v>
      </c>
      <c r="H23" s="35" t="n">
        <f aca="false">SUM(H20:H22)</f>
        <v>3057.85559785294</v>
      </c>
      <c r="I23" s="29" t="n">
        <f aca="false">SUM(I20:I22)</f>
        <v>31917.8569434447</v>
      </c>
      <c r="K23" s="35" t="n">
        <f aca="false">SUM(K20:K22)</f>
        <v>2442.96000791226</v>
      </c>
      <c r="L23" s="35" t="n">
        <f aca="false">SUM(L20:L22)</f>
        <v>2502.37292994605</v>
      </c>
      <c r="M23" s="35" t="n">
        <f aca="false">SUM(M20:M22)</f>
        <v>2562.1535564635</v>
      </c>
      <c r="N23" s="35" t="n">
        <f aca="false">SUM(N20:N22)</f>
        <v>2622.31456753361</v>
      </c>
      <c r="O23" s="35" t="n">
        <f aca="false">SUM(O20:O22)</f>
        <v>2682.86908048999</v>
      </c>
      <c r="P23" s="35" t="n">
        <f aca="false">SUM(P20:P22)</f>
        <v>2743.83066500964</v>
      </c>
      <c r="Q23" s="35" t="n">
        <f aca="false">SUM(Q20:Q22)</f>
        <v>2805.21335871177</v>
      </c>
      <c r="R23" s="29" t="n">
        <f aca="false">SUM(R20:R22)</f>
        <v>30316.7141660668</v>
      </c>
    </row>
    <row r="24" customFormat="false" ht="15" hidden="false" customHeight="true" outlineLevel="0" collapsed="false">
      <c r="A24" s="34" t="s">
        <v>103</v>
      </c>
      <c r="B24" s="35" t="n">
        <f aca="false">B19+B23</f>
        <v>3467.94621027838</v>
      </c>
      <c r="C24" s="35" t="n">
        <f aca="false">C19+C23</f>
        <v>3542.89142533786</v>
      </c>
      <c r="D24" s="35" t="n">
        <f aca="false">D19+D23</f>
        <v>3618.735433982</v>
      </c>
      <c r="E24" s="35" t="n">
        <f aca="false">E19+E23</f>
        <v>3695.50907670024</v>
      </c>
      <c r="F24" s="35" t="n">
        <f aca="false">F19+F23</f>
        <v>3773.24425227453</v>
      </c>
      <c r="G24" s="35" t="n">
        <f aca="false">G19+G23</f>
        <v>3851.9739540966</v>
      </c>
      <c r="H24" s="35" t="n">
        <f aca="false">H19+H23</f>
        <v>3931.73230773164</v>
      </c>
      <c r="I24" s="29" t="n">
        <f aca="false">I19+I23</f>
        <v>42357.0326604013</v>
      </c>
      <c r="K24" s="35" t="n">
        <f aca="false">K19+K23</f>
        <v>3261.80620500355</v>
      </c>
      <c r="L24" s="35" t="n">
        <f aca="false">L19+L23</f>
        <v>3329.64280537383</v>
      </c>
      <c r="M24" s="35" t="n">
        <f aca="false">M19+M23</f>
        <v>3398.13306300634</v>
      </c>
      <c r="N24" s="35" t="n">
        <f aca="false">N19+N23</f>
        <v>3467.29936501117</v>
      </c>
      <c r="O24" s="35" t="n">
        <f aca="false">O19+O23</f>
        <v>3537.1648652812</v>
      </c>
      <c r="P24" s="35" t="n">
        <f aca="false">P19+P23</f>
        <v>3607.75351075684</v>
      </c>
      <c r="Q24" s="35" t="n">
        <f aca="false">Q19+Q23</f>
        <v>3679.09006859047</v>
      </c>
      <c r="R24" s="29" t="n">
        <f aca="false">R19+R23</f>
        <v>40755.8898830234</v>
      </c>
    </row>
    <row r="25" customFormat="false" ht="15" hidden="false" customHeight="true" outlineLevel="0" collapsed="false">
      <c r="A25" s="25" t="s">
        <v>158</v>
      </c>
      <c r="B25" s="27" t="n">
        <f aca="false">(B16+B18)*Inputs!$C$22</f>
        <v>348.665254139791</v>
      </c>
      <c r="C25" s="27" t="n">
        <f aca="false">(C16+C18)*Inputs!$C$22</f>
        <v>348.665254139791</v>
      </c>
      <c r="D25" s="27" t="n">
        <f aca="false">(D16+D18)*Inputs!$C$22</f>
        <v>348.665254139791</v>
      </c>
      <c r="E25" s="27" t="n">
        <f aca="false">(E16+E18)*Inputs!$C$22</f>
        <v>348.665254139791</v>
      </c>
      <c r="F25" s="27" t="n">
        <f aca="false">(F16+F18)*Inputs!$C$22</f>
        <v>348.665254139791</v>
      </c>
      <c r="G25" s="27" t="n">
        <f aca="false">(G16+G18)*Inputs!$C$22</f>
        <v>348.665254139791</v>
      </c>
      <c r="H25" s="27" t="n">
        <f aca="false">(H16+H18)*Inputs!$C$22</f>
        <v>348.665254139791</v>
      </c>
      <c r="I25" s="29" t="n">
        <f aca="false">SUM(Data_Actuals!$D$12:$H$12)+SUM(B25:H25)</f>
        <v>4510.65677897854</v>
      </c>
      <c r="K25" s="27" t="n">
        <f aca="false">(K16+K18)*Inputs!$C$22</f>
        <v>348.665254139791</v>
      </c>
      <c r="L25" s="27" t="n">
        <f aca="false">(L16+L18)*Inputs!$C$22</f>
        <v>348.665254139791</v>
      </c>
      <c r="M25" s="27" t="n">
        <f aca="false">(M16+M18)*Inputs!$C$22</f>
        <v>348.665254139791</v>
      </c>
      <c r="N25" s="27" t="n">
        <f aca="false">(N16+N18)*Inputs!$C$22</f>
        <v>348.665254139791</v>
      </c>
      <c r="O25" s="27" t="n">
        <f aca="false">(O16+O18)*Inputs!$C$22</f>
        <v>348.665254139791</v>
      </c>
      <c r="P25" s="27" t="n">
        <f aca="false">(P16+P18)*Inputs!$C$22</f>
        <v>348.665254139791</v>
      </c>
      <c r="Q25" s="27" t="n">
        <f aca="false">(Q16+Q18)*Inputs!$C$22</f>
        <v>348.665254139791</v>
      </c>
      <c r="R25" s="29" t="n">
        <f aca="false">SUM(Data_Actuals!$D$12:$H$12)+SUM(K25:Q25)</f>
        <v>4510.65677897854</v>
      </c>
    </row>
    <row r="26" customFormat="false" ht="15" hidden="false" customHeight="true" outlineLevel="0" collapsed="false">
      <c r="A26" s="25" t="s">
        <v>159</v>
      </c>
      <c r="B26" s="27" t="n">
        <f aca="false">B23*Inputs!$C$23</f>
        <v>370.198219386781</v>
      </c>
      <c r="C26" s="27" t="n">
        <f aca="false">C23*Inputs!$C$23</f>
        <v>379.494264958159</v>
      </c>
      <c r="D26" s="27" t="n">
        <f aca="false">D23*Inputs!$C$23</f>
        <v>388.875951907382</v>
      </c>
      <c r="E26" s="27" t="n">
        <f aca="false">E23*Inputs!$C$23</f>
        <v>398.346233526101</v>
      </c>
      <c r="F26" s="27" t="n">
        <f aca="false">F23*Inputs!$C$23</f>
        <v>407.908164948463</v>
      </c>
      <c r="G26" s="27" t="n">
        <f aca="false">G23*Inputs!$C$23</f>
        <v>417.564906663086</v>
      </c>
      <c r="H26" s="27" t="n">
        <f aca="false">H23*Inputs!$C$23</f>
        <v>427.319728146146</v>
      </c>
      <c r="I26" s="29" t="n">
        <f aca="false">SUM(Data_Actuals!$D$13:$H$13)+SUM(B26:H26)</f>
        <v>4459.70746953612</v>
      </c>
      <c r="K26" s="27" t="n">
        <f aca="false">K23*Inputs!$C$23</f>
        <v>341.391204733788</v>
      </c>
      <c r="L26" s="27" t="n">
        <f aca="false">L23*Inputs!$C$23</f>
        <v>349.693857648358</v>
      </c>
      <c r="M26" s="27" t="n">
        <f aca="false">M23*Inputs!$C$23</f>
        <v>358.047895389636</v>
      </c>
      <c r="N26" s="27" t="n">
        <f aca="false">N23*Inputs!$C$23</f>
        <v>366.455089932612</v>
      </c>
      <c r="O26" s="27" t="n">
        <f aca="false">O23*Inputs!$C$23</f>
        <v>374.917274357773</v>
      </c>
      <c r="P26" s="27" t="n">
        <f aca="false">P23*Inputs!$C$23</f>
        <v>383.436344958291</v>
      </c>
      <c r="Q26" s="27" t="n">
        <f aca="false">Q23*Inputs!$C$23</f>
        <v>392.014263419871</v>
      </c>
      <c r="R26" s="29" t="n">
        <f aca="false">SUM(Data_Actuals!$D$13:$H$13)+SUM(K26:Q26)</f>
        <v>4235.95593044033</v>
      </c>
    </row>
    <row r="27" customFormat="false" ht="15" hidden="false" customHeight="true" outlineLevel="0" collapsed="false">
      <c r="A27" s="34" t="s">
        <v>105</v>
      </c>
      <c r="B27" s="35" t="n">
        <f aca="false">B24-B25-B26</f>
        <v>2749.08273675181</v>
      </c>
      <c r="C27" s="35" t="n">
        <f aca="false">C24-C25-C26</f>
        <v>2814.73190623991</v>
      </c>
      <c r="D27" s="35" t="n">
        <f aca="false">D24-D25-D26</f>
        <v>2881.19422793483</v>
      </c>
      <c r="E27" s="35" t="n">
        <f aca="false">E24-E25-E26</f>
        <v>2948.49758903435</v>
      </c>
      <c r="F27" s="35" t="n">
        <f aca="false">F24-F25-F26</f>
        <v>3016.67083318627</v>
      </c>
      <c r="G27" s="35" t="n">
        <f aca="false">G24-G25-G26</f>
        <v>3085.74379329373</v>
      </c>
      <c r="H27" s="35" t="n">
        <f aca="false">H24-H25-H26</f>
        <v>3155.74732544571</v>
      </c>
      <c r="I27" s="29" t="n">
        <f aca="false">I24-I25-I26</f>
        <v>33386.6684118866</v>
      </c>
      <c r="K27" s="35" t="n">
        <f aca="false">K24-K25-K26</f>
        <v>2571.74974612997</v>
      </c>
      <c r="L27" s="35" t="n">
        <f aca="false">L24-L25-L26</f>
        <v>2631.28369358568</v>
      </c>
      <c r="M27" s="35" t="n">
        <f aca="false">M24-M25-M26</f>
        <v>2691.41991347691</v>
      </c>
      <c r="N27" s="35" t="n">
        <f aca="false">N24-N25-N26</f>
        <v>2752.17902093877</v>
      </c>
      <c r="O27" s="35" t="n">
        <f aca="false">O24-O25-O26</f>
        <v>2813.58233678364</v>
      </c>
      <c r="P27" s="35" t="n">
        <f aca="false">P24-P25-P26</f>
        <v>2875.65191165876</v>
      </c>
      <c r="Q27" s="35" t="n">
        <f aca="false">Q24-Q25-Q26</f>
        <v>2938.41055103081</v>
      </c>
      <c r="R27" s="29" t="n">
        <f aca="false">R24-R25-R26</f>
        <v>32009.2771736045</v>
      </c>
    </row>
    <row r="28" customFormat="false" ht="15" hidden="false" customHeight="true" outlineLevel="0" collapsed="false">
      <c r="A28" s="25" t="s">
        <v>160</v>
      </c>
      <c r="B28" s="27" t="n">
        <f aca="false">Data_Actuals!$H$14+Inputs!$C$24</f>
        <v>2006.25</v>
      </c>
      <c r="C28" s="27" t="n">
        <f aca="false">B28+Inputs!$C$24</f>
        <v>2037.5</v>
      </c>
      <c r="D28" s="27" t="n">
        <f aca="false">C28+Inputs!$C$24</f>
        <v>2068.75</v>
      </c>
      <c r="E28" s="27" t="n">
        <f aca="false">D28+Inputs!$C$24</f>
        <v>2100</v>
      </c>
      <c r="F28" s="27" t="n">
        <f aca="false">E28+Inputs!$C$24</f>
        <v>2131.25</v>
      </c>
      <c r="G28" s="27" t="n">
        <f aca="false">F28+Inputs!$C$24</f>
        <v>2162.5</v>
      </c>
      <c r="H28" s="27" t="n">
        <f aca="false">G28+Inputs!$C$24</f>
        <v>2193.75</v>
      </c>
      <c r="I28" s="29" t="n">
        <f aca="false">SUM(Data_Actuals!$D$14:$H$14)+SUM(B28:H28)</f>
        <v>24255</v>
      </c>
      <c r="K28" s="27" t="n">
        <f aca="false">Data_Actuals!$H$14+Inputs!$C$24</f>
        <v>2006.25</v>
      </c>
      <c r="L28" s="27" t="n">
        <f aca="false">K28+Inputs!$C$24</f>
        <v>2037.5</v>
      </c>
      <c r="M28" s="27" t="n">
        <f aca="false">L28+Inputs!$C$24</f>
        <v>2068.75</v>
      </c>
      <c r="N28" s="27" t="n">
        <f aca="false">M28+Inputs!$C$24</f>
        <v>2100</v>
      </c>
      <c r="O28" s="27" t="n">
        <f aca="false">N28+Inputs!$C$24</f>
        <v>2131.25</v>
      </c>
      <c r="P28" s="27" t="n">
        <f aca="false">O28+Inputs!$C$24</f>
        <v>2162.5</v>
      </c>
      <c r="Q28" s="27" t="n">
        <f aca="false">P28+Inputs!$C$24</f>
        <v>2193.75</v>
      </c>
      <c r="R28" s="29" t="n">
        <f aca="false">SUM(Data_Actuals!$D$14:$H$14)+SUM(K28:Q28)</f>
        <v>24255</v>
      </c>
    </row>
    <row r="29" customFormat="false" ht="15" hidden="false" customHeight="true" outlineLevel="0" collapsed="false">
      <c r="A29" s="25" t="s">
        <v>161</v>
      </c>
      <c r="B29" s="27" t="n">
        <f aca="false">Data_Actuals!$H$15+Inputs!$C$25</f>
        <v>602.5</v>
      </c>
      <c r="C29" s="27" t="n">
        <f aca="false">B29+Inputs!$C$25</f>
        <v>615</v>
      </c>
      <c r="D29" s="27" t="n">
        <f aca="false">C29+Inputs!$C$25</f>
        <v>627.5</v>
      </c>
      <c r="E29" s="27" t="n">
        <f aca="false">D29+Inputs!$C$25</f>
        <v>640</v>
      </c>
      <c r="F29" s="27" t="n">
        <f aca="false">E29+Inputs!$C$25</f>
        <v>652.5</v>
      </c>
      <c r="G29" s="27" t="n">
        <f aca="false">F29+Inputs!$C$25</f>
        <v>665</v>
      </c>
      <c r="H29" s="27" t="n">
        <f aca="false">G29+Inputs!$C$25</f>
        <v>677.5</v>
      </c>
      <c r="I29" s="29" t="n">
        <f aca="false">SUM(Data_Actuals!$D$15:$H$15)+SUM(B29:H29)</f>
        <v>7300</v>
      </c>
      <c r="K29" s="27" t="n">
        <f aca="false">Data_Actuals!$H$15+Inputs!$C$25</f>
        <v>602.5</v>
      </c>
      <c r="L29" s="27" t="n">
        <f aca="false">K29+Inputs!$C$25</f>
        <v>615</v>
      </c>
      <c r="M29" s="27" t="n">
        <f aca="false">L29+Inputs!$C$25</f>
        <v>627.5</v>
      </c>
      <c r="N29" s="27" t="n">
        <f aca="false">M29+Inputs!$C$25</f>
        <v>640</v>
      </c>
      <c r="O29" s="27" t="n">
        <f aca="false">N29+Inputs!$C$25</f>
        <v>652.5</v>
      </c>
      <c r="P29" s="27" t="n">
        <f aca="false">O29+Inputs!$C$25</f>
        <v>665</v>
      </c>
      <c r="Q29" s="27" t="n">
        <f aca="false">P29+Inputs!$C$25</f>
        <v>677.5</v>
      </c>
      <c r="R29" s="29" t="n">
        <f aca="false">SUM(Data_Actuals!$D$15:$H$15)+SUM(K29:Q29)</f>
        <v>7300</v>
      </c>
    </row>
    <row r="30" customFormat="false" ht="15" hidden="false" customHeight="true" outlineLevel="0" collapsed="false">
      <c r="A30" s="25" t="s">
        <v>162</v>
      </c>
      <c r="B30" s="27" t="n">
        <f aca="false">Data_Actuals!$H$16+Inputs!$C$26</f>
        <v>457.5</v>
      </c>
      <c r="C30" s="27" t="n">
        <f aca="false">B30+Inputs!$C$26</f>
        <v>465</v>
      </c>
      <c r="D30" s="27" t="n">
        <f aca="false">C30+Inputs!$C$26</f>
        <v>472.5</v>
      </c>
      <c r="E30" s="27" t="n">
        <f aca="false">D30+Inputs!$C$26</f>
        <v>480</v>
      </c>
      <c r="F30" s="27" t="n">
        <f aca="false">E30+Inputs!$C$26</f>
        <v>487.5</v>
      </c>
      <c r="G30" s="27" t="n">
        <f aca="false">F30+Inputs!$C$26</f>
        <v>495</v>
      </c>
      <c r="H30" s="27" t="n">
        <f aca="false">G30+Inputs!$C$26</f>
        <v>502.5</v>
      </c>
      <c r="I30" s="29" t="n">
        <f aca="false">SUM(Data_Actuals!$D$16:$H$16)+SUM(B30:H30)</f>
        <v>5525</v>
      </c>
      <c r="K30" s="27" t="n">
        <f aca="false">Data_Actuals!$H$16+Inputs!$C$26</f>
        <v>457.5</v>
      </c>
      <c r="L30" s="27" t="n">
        <f aca="false">K30+Inputs!$C$26</f>
        <v>465</v>
      </c>
      <c r="M30" s="27" t="n">
        <f aca="false">L30+Inputs!$C$26</f>
        <v>472.5</v>
      </c>
      <c r="N30" s="27" t="n">
        <f aca="false">M30+Inputs!$C$26</f>
        <v>480</v>
      </c>
      <c r="O30" s="27" t="n">
        <f aca="false">N30+Inputs!$C$26</f>
        <v>487.5</v>
      </c>
      <c r="P30" s="27" t="n">
        <f aca="false">O30+Inputs!$C$26</f>
        <v>495</v>
      </c>
      <c r="Q30" s="27" t="n">
        <f aca="false">P30+Inputs!$C$26</f>
        <v>502.5</v>
      </c>
      <c r="R30" s="29" t="n">
        <f aca="false">SUM(Data_Actuals!$D$16:$H$16)+SUM(K30:Q30)</f>
        <v>5525</v>
      </c>
    </row>
    <row r="31" customFormat="false" ht="15" hidden="false" customHeight="true" outlineLevel="0" collapsed="false">
      <c r="A31" s="25" t="s">
        <v>163</v>
      </c>
      <c r="B31" s="27" t="n">
        <f aca="false">Inputs!$C$27</f>
        <v>450</v>
      </c>
      <c r="C31" s="27" t="n">
        <f aca="false">Inputs!$C$27</f>
        <v>450</v>
      </c>
      <c r="D31" s="27" t="n">
        <f aca="false">Inputs!$C$27</f>
        <v>450</v>
      </c>
      <c r="E31" s="27" t="n">
        <f aca="false">Inputs!$C$27</f>
        <v>450</v>
      </c>
      <c r="F31" s="27" t="n">
        <f aca="false">Inputs!$C$27</f>
        <v>450</v>
      </c>
      <c r="G31" s="27" t="n">
        <f aca="false">Inputs!$C$27</f>
        <v>450</v>
      </c>
      <c r="H31" s="27" t="n">
        <f aca="false">Inputs!$C$27</f>
        <v>450</v>
      </c>
      <c r="I31" s="29" t="n">
        <f aca="false">SUM(Data_Actuals!$D$17:$H$17)+SUM(B31:H31)</f>
        <v>4960</v>
      </c>
      <c r="K31" s="27" t="n">
        <f aca="false">Inputs!$C$27</f>
        <v>450</v>
      </c>
      <c r="L31" s="27" t="n">
        <f aca="false">Inputs!$C$27</f>
        <v>450</v>
      </c>
      <c r="M31" s="27" t="n">
        <f aca="false">Inputs!$C$27</f>
        <v>450</v>
      </c>
      <c r="N31" s="27" t="n">
        <f aca="false">Inputs!$C$27</f>
        <v>450</v>
      </c>
      <c r="O31" s="27" t="n">
        <f aca="false">Inputs!$C$27</f>
        <v>450</v>
      </c>
      <c r="P31" s="27" t="n">
        <f aca="false">Inputs!$C$27</f>
        <v>450</v>
      </c>
      <c r="Q31" s="27" t="n">
        <f aca="false">Inputs!$C$27</f>
        <v>450</v>
      </c>
      <c r="R31" s="29" t="n">
        <f aca="false">SUM(Data_Actuals!$D$17:$H$17)+SUM(K31:Q31)</f>
        <v>4960</v>
      </c>
    </row>
    <row r="32" customFormat="false" ht="15" hidden="false" customHeight="true" outlineLevel="0" collapsed="false">
      <c r="A32" s="25" t="s">
        <v>164</v>
      </c>
      <c r="B32" s="27" t="n">
        <f aca="false">Data_Budget!$I$18</f>
        <v>225</v>
      </c>
      <c r="C32" s="27" t="n">
        <f aca="false">Data_Budget!$J$18</f>
        <v>225</v>
      </c>
      <c r="D32" s="27" t="n">
        <f aca="false">Data_Budget!$K$18</f>
        <v>225</v>
      </c>
      <c r="E32" s="27" t="n">
        <f aca="false">Data_Budget!$L$18</f>
        <v>250</v>
      </c>
      <c r="F32" s="27" t="n">
        <f aca="false">Data_Budget!$M$18</f>
        <v>250</v>
      </c>
      <c r="G32" s="27" t="n">
        <f aca="false">Data_Budget!$N$18</f>
        <v>250</v>
      </c>
      <c r="H32" s="27" t="n">
        <f aca="false">Data_Budget!$O$18</f>
        <v>275</v>
      </c>
      <c r="I32" s="29" t="n">
        <f aca="false">SUM(Data_Actuals!$D$18:$H$18)+SUM(B32:H32)</f>
        <v>2700</v>
      </c>
      <c r="K32" s="27" t="n">
        <f aca="false">Data_Budget!$I$18</f>
        <v>225</v>
      </c>
      <c r="L32" s="27" t="n">
        <f aca="false">Data_Budget!$J$18</f>
        <v>225</v>
      </c>
      <c r="M32" s="27" t="n">
        <f aca="false">Data_Budget!$K$18</f>
        <v>225</v>
      </c>
      <c r="N32" s="27" t="n">
        <f aca="false">Data_Budget!$L$18</f>
        <v>250</v>
      </c>
      <c r="O32" s="27" t="n">
        <f aca="false">Data_Budget!$M$18</f>
        <v>250</v>
      </c>
      <c r="P32" s="27" t="n">
        <f aca="false">Data_Budget!$N$18</f>
        <v>250</v>
      </c>
      <c r="Q32" s="27" t="n">
        <f aca="false">Data_Budget!$O$18</f>
        <v>275</v>
      </c>
      <c r="R32" s="29" t="n">
        <f aca="false">SUM(Data_Actuals!$D$18:$H$18)+SUM(K32:Q32)</f>
        <v>2700</v>
      </c>
    </row>
    <row r="33" customFormat="false" ht="15" hidden="false" customHeight="true" outlineLevel="0" collapsed="false">
      <c r="A33" s="25" t="s">
        <v>165</v>
      </c>
      <c r="B33" s="27" t="n">
        <f aca="false">Data_Budget!$I$19</f>
        <v>150</v>
      </c>
      <c r="C33" s="27" t="n">
        <f aca="false">Data_Budget!$J$19</f>
        <v>80</v>
      </c>
      <c r="D33" s="27" t="n">
        <f aca="false">Data_Budget!$K$19</f>
        <v>80</v>
      </c>
      <c r="E33" s="27" t="n">
        <f aca="false">Data_Budget!$L$19</f>
        <v>90</v>
      </c>
      <c r="F33" s="27" t="n">
        <f aca="false">Data_Budget!$M$19</f>
        <v>80</v>
      </c>
      <c r="G33" s="27" t="n">
        <f aca="false">Data_Budget!$N$19</f>
        <v>80</v>
      </c>
      <c r="H33" s="27" t="n">
        <f aca="false">Data_Budget!$O$19</f>
        <v>100</v>
      </c>
      <c r="I33" s="29" t="n">
        <f aca="false">SUM(Data_Actuals!$D$19:$H$19)+SUM(B33:H33)</f>
        <v>1163</v>
      </c>
      <c r="K33" s="27" t="n">
        <f aca="false">Data_Budget!$I$19</f>
        <v>150</v>
      </c>
      <c r="L33" s="27" t="n">
        <f aca="false">Data_Budget!$J$19</f>
        <v>80</v>
      </c>
      <c r="M33" s="27" t="n">
        <f aca="false">Data_Budget!$K$19</f>
        <v>80</v>
      </c>
      <c r="N33" s="27" t="n">
        <f aca="false">Data_Budget!$L$19</f>
        <v>90</v>
      </c>
      <c r="O33" s="27" t="n">
        <f aca="false">Data_Budget!$M$19</f>
        <v>80</v>
      </c>
      <c r="P33" s="27" t="n">
        <f aca="false">Data_Budget!$N$19</f>
        <v>80</v>
      </c>
      <c r="Q33" s="27" t="n">
        <f aca="false">Data_Budget!$O$19</f>
        <v>100</v>
      </c>
      <c r="R33" s="29" t="n">
        <f aca="false">SUM(Data_Actuals!$D$19:$H$19)+SUM(K33:Q33)</f>
        <v>1163</v>
      </c>
    </row>
    <row r="34" customFormat="false" ht="15" hidden="false" customHeight="true" outlineLevel="0" collapsed="false">
      <c r="A34" s="25" t="s">
        <v>166</v>
      </c>
      <c r="B34" s="27" t="n">
        <f aca="false">Data_Budget!$I$20</f>
        <v>140</v>
      </c>
      <c r="C34" s="27" t="n">
        <f aca="false">Data_Budget!$J$20</f>
        <v>120</v>
      </c>
      <c r="D34" s="27" t="n">
        <f aca="false">Data_Budget!$K$20</f>
        <v>120</v>
      </c>
      <c r="E34" s="27" t="n">
        <f aca="false">Data_Budget!$L$20</f>
        <v>140</v>
      </c>
      <c r="F34" s="27" t="n">
        <f aca="false">Data_Budget!$M$20</f>
        <v>120</v>
      </c>
      <c r="G34" s="27" t="n">
        <f aca="false">Data_Budget!$N$20</f>
        <v>120</v>
      </c>
      <c r="H34" s="27" t="n">
        <f aca="false">Data_Budget!$O$20</f>
        <v>160</v>
      </c>
      <c r="I34" s="29" t="n">
        <f aca="false">SUM(Data_Actuals!$D$20:$H$20)+SUM(B34:H34)</f>
        <v>1610</v>
      </c>
      <c r="K34" s="27" t="n">
        <f aca="false">Data_Budget!$I$20</f>
        <v>140</v>
      </c>
      <c r="L34" s="27" t="n">
        <f aca="false">Data_Budget!$J$20</f>
        <v>120</v>
      </c>
      <c r="M34" s="27" t="n">
        <f aca="false">Data_Budget!$K$20</f>
        <v>120</v>
      </c>
      <c r="N34" s="27" t="n">
        <f aca="false">Data_Budget!$L$20</f>
        <v>140</v>
      </c>
      <c r="O34" s="27" t="n">
        <f aca="false">Data_Budget!$M$20</f>
        <v>120</v>
      </c>
      <c r="P34" s="27" t="n">
        <f aca="false">Data_Budget!$N$20</f>
        <v>120</v>
      </c>
      <c r="Q34" s="27" t="n">
        <f aca="false">Data_Budget!$O$20</f>
        <v>160</v>
      </c>
      <c r="R34" s="29" t="n">
        <f aca="false">SUM(Data_Actuals!$D$20:$H$20)+SUM(K34:Q34)</f>
        <v>1610</v>
      </c>
    </row>
    <row r="35" customFormat="false" ht="15" hidden="false" customHeight="true" outlineLevel="0" collapsed="false">
      <c r="A35" s="25" t="s">
        <v>167</v>
      </c>
      <c r="B35" s="27" t="n">
        <f aca="false">Data_Budget!$I$21</f>
        <v>84</v>
      </c>
      <c r="C35" s="27" t="n">
        <f aca="false">Data_Budget!$J$21</f>
        <v>86</v>
      </c>
      <c r="D35" s="27" t="n">
        <f aca="false">Data_Budget!$K$21</f>
        <v>86</v>
      </c>
      <c r="E35" s="27" t="n">
        <f aca="false">Data_Budget!$L$21</f>
        <v>88</v>
      </c>
      <c r="F35" s="27" t="n">
        <f aca="false">Data_Budget!$M$21</f>
        <v>88</v>
      </c>
      <c r="G35" s="27" t="n">
        <f aca="false">Data_Budget!$N$21</f>
        <v>90</v>
      </c>
      <c r="H35" s="27" t="n">
        <f aca="false">Data_Budget!$O$21</f>
        <v>90</v>
      </c>
      <c r="I35" s="29" t="n">
        <f aca="false">SUM(Data_Actuals!$D$21:$H$21)+SUM(B35:H35)</f>
        <v>1037</v>
      </c>
      <c r="K35" s="27" t="n">
        <f aca="false">Data_Budget!$I$21</f>
        <v>84</v>
      </c>
      <c r="L35" s="27" t="n">
        <f aca="false">Data_Budget!$J$21</f>
        <v>86</v>
      </c>
      <c r="M35" s="27" t="n">
        <f aca="false">Data_Budget!$K$21</f>
        <v>86</v>
      </c>
      <c r="N35" s="27" t="n">
        <f aca="false">Data_Budget!$L$21</f>
        <v>88</v>
      </c>
      <c r="O35" s="27" t="n">
        <f aca="false">Data_Budget!$M$21</f>
        <v>88</v>
      </c>
      <c r="P35" s="27" t="n">
        <f aca="false">Data_Budget!$N$21</f>
        <v>90</v>
      </c>
      <c r="Q35" s="27" t="n">
        <f aca="false">Data_Budget!$O$21</f>
        <v>90</v>
      </c>
      <c r="R35" s="29" t="n">
        <f aca="false">SUM(Data_Actuals!$D$21:$H$21)+SUM(K35:Q35)</f>
        <v>1037</v>
      </c>
    </row>
    <row r="36" customFormat="false" ht="15" hidden="false" customHeight="true" outlineLevel="0" collapsed="false">
      <c r="A36" s="25" t="s">
        <v>168</v>
      </c>
      <c r="B36" s="27" t="n">
        <f aca="false">Data_Budget!$I$22</f>
        <v>112</v>
      </c>
      <c r="C36" s="27" t="n">
        <f aca="false">Data_Budget!$J$22</f>
        <v>115</v>
      </c>
      <c r="D36" s="27" t="n">
        <f aca="false">Data_Budget!$K$22</f>
        <v>115</v>
      </c>
      <c r="E36" s="27" t="n">
        <f aca="false">Data_Budget!$L$22</f>
        <v>115</v>
      </c>
      <c r="F36" s="27" t="n">
        <f aca="false">Data_Budget!$M$22</f>
        <v>118</v>
      </c>
      <c r="G36" s="27" t="n">
        <f aca="false">Data_Budget!$N$22</f>
        <v>118</v>
      </c>
      <c r="H36" s="27" t="n">
        <f aca="false">Data_Budget!$O$22</f>
        <v>118</v>
      </c>
      <c r="I36" s="29" t="n">
        <f aca="false">SUM(Data_Actuals!$D$22:$H$22)+SUM(B36:H36)</f>
        <v>1370</v>
      </c>
      <c r="K36" s="27" t="n">
        <f aca="false">Data_Budget!$I$22</f>
        <v>112</v>
      </c>
      <c r="L36" s="27" t="n">
        <f aca="false">Data_Budget!$J$22</f>
        <v>115</v>
      </c>
      <c r="M36" s="27" t="n">
        <f aca="false">Data_Budget!$K$22</f>
        <v>115</v>
      </c>
      <c r="N36" s="27" t="n">
        <f aca="false">Data_Budget!$L$22</f>
        <v>115</v>
      </c>
      <c r="O36" s="27" t="n">
        <f aca="false">Data_Budget!$M$22</f>
        <v>118</v>
      </c>
      <c r="P36" s="27" t="n">
        <f aca="false">Data_Budget!$N$22</f>
        <v>118</v>
      </c>
      <c r="Q36" s="27" t="n">
        <f aca="false">Data_Budget!$O$22</f>
        <v>118</v>
      </c>
      <c r="R36" s="29" t="n">
        <f aca="false">SUM(Data_Actuals!$D$22:$H$22)+SUM(K36:Q36)</f>
        <v>1370</v>
      </c>
    </row>
    <row r="37" customFormat="false" ht="15" hidden="false" customHeight="true" outlineLevel="0" collapsed="false">
      <c r="A37" s="25" t="s">
        <v>169</v>
      </c>
      <c r="B37" s="27" t="n">
        <f aca="false">Data_Budget!$I$23</f>
        <v>50</v>
      </c>
      <c r="C37" s="27" t="n">
        <f aca="false">Data_Budget!$J$23</f>
        <v>52</v>
      </c>
      <c r="D37" s="27" t="n">
        <f aca="false">Data_Budget!$K$23</f>
        <v>52</v>
      </c>
      <c r="E37" s="27" t="n">
        <f aca="false">Data_Budget!$L$23</f>
        <v>55</v>
      </c>
      <c r="F37" s="27" t="n">
        <f aca="false">Data_Budget!$M$23</f>
        <v>55</v>
      </c>
      <c r="G37" s="27" t="n">
        <f aca="false">Data_Budget!$N$23</f>
        <v>58</v>
      </c>
      <c r="H37" s="27" t="n">
        <f aca="false">Data_Budget!$O$23</f>
        <v>58</v>
      </c>
      <c r="I37" s="29" t="n">
        <f aca="false">SUM(Data_Actuals!$D$23:$H$23)+SUM(B37:H37)</f>
        <v>616</v>
      </c>
      <c r="K37" s="27" t="n">
        <f aca="false">Data_Budget!$I$23</f>
        <v>50</v>
      </c>
      <c r="L37" s="27" t="n">
        <f aca="false">Data_Budget!$J$23</f>
        <v>52</v>
      </c>
      <c r="M37" s="27" t="n">
        <f aca="false">Data_Budget!$K$23</f>
        <v>52</v>
      </c>
      <c r="N37" s="27" t="n">
        <f aca="false">Data_Budget!$L$23</f>
        <v>55</v>
      </c>
      <c r="O37" s="27" t="n">
        <f aca="false">Data_Budget!$M$23</f>
        <v>55</v>
      </c>
      <c r="P37" s="27" t="n">
        <f aca="false">Data_Budget!$N$23</f>
        <v>58</v>
      </c>
      <c r="Q37" s="27" t="n">
        <f aca="false">Data_Budget!$O$23</f>
        <v>58</v>
      </c>
      <c r="R37" s="29" t="n">
        <f aca="false">SUM(Data_Actuals!$D$23:$H$23)+SUM(K37:Q37)</f>
        <v>616</v>
      </c>
    </row>
    <row r="38" customFormat="false" ht="15" hidden="false" customHeight="true" outlineLevel="0" collapsed="false">
      <c r="A38" s="34" t="s">
        <v>117</v>
      </c>
      <c r="B38" s="35" t="n">
        <f aca="false">SUM(B28:B37)</f>
        <v>4277.25</v>
      </c>
      <c r="C38" s="35" t="n">
        <f aca="false">SUM(C28:C37)</f>
        <v>4245.5</v>
      </c>
      <c r="D38" s="35" t="n">
        <f aca="false">SUM(D28:D37)</f>
        <v>4296.75</v>
      </c>
      <c r="E38" s="35" t="n">
        <f aca="false">SUM(E28:E37)</f>
        <v>4408</v>
      </c>
      <c r="F38" s="35" t="n">
        <f aca="false">SUM(F28:F37)</f>
        <v>4432.25</v>
      </c>
      <c r="G38" s="35" t="n">
        <f aca="false">SUM(G28:G37)</f>
        <v>4488.5</v>
      </c>
      <c r="H38" s="35" t="n">
        <f aca="false">SUM(H28:H37)</f>
        <v>4624.75</v>
      </c>
      <c r="I38" s="29" t="n">
        <f aca="false">SUM(I28:I37)</f>
        <v>50536</v>
      </c>
      <c r="K38" s="35" t="n">
        <f aca="false">SUM(K28:K37)</f>
        <v>4277.25</v>
      </c>
      <c r="L38" s="35" t="n">
        <f aca="false">SUM(L28:L37)</f>
        <v>4245.5</v>
      </c>
      <c r="M38" s="35" t="n">
        <f aca="false">SUM(M28:M37)</f>
        <v>4296.75</v>
      </c>
      <c r="N38" s="35" t="n">
        <f aca="false">SUM(N28:N37)</f>
        <v>4408</v>
      </c>
      <c r="O38" s="35" t="n">
        <f aca="false">SUM(O28:O37)</f>
        <v>4432.25</v>
      </c>
      <c r="P38" s="35" t="n">
        <f aca="false">SUM(P28:P37)</f>
        <v>4488.5</v>
      </c>
      <c r="Q38" s="35" t="n">
        <f aca="false">SUM(Q28:Q37)</f>
        <v>4624.75</v>
      </c>
      <c r="R38" s="29" t="n">
        <f aca="false">SUM(R28:R37)</f>
        <v>50536</v>
      </c>
    </row>
    <row r="39" customFormat="false" ht="15" hidden="false" customHeight="true" outlineLevel="0" collapsed="false">
      <c r="A39" s="34" t="s">
        <v>118</v>
      </c>
      <c r="B39" s="35" t="n">
        <f aca="false">B27-B38</f>
        <v>-1528.16726324819</v>
      </c>
      <c r="C39" s="35" t="n">
        <f aca="false">C27-C38</f>
        <v>-1430.76809376009</v>
      </c>
      <c r="D39" s="35" t="n">
        <f aca="false">D27-D38</f>
        <v>-1415.55577206517</v>
      </c>
      <c r="E39" s="35" t="n">
        <f aca="false">E27-E38</f>
        <v>-1459.50241096565</v>
      </c>
      <c r="F39" s="35" t="n">
        <f aca="false">F27-F38</f>
        <v>-1415.57916681373</v>
      </c>
      <c r="G39" s="35" t="n">
        <f aca="false">G27-G38</f>
        <v>-1402.75620670628</v>
      </c>
      <c r="H39" s="35" t="n">
        <f aca="false">H27-H38</f>
        <v>-1469.00267455429</v>
      </c>
      <c r="I39" s="29" t="n">
        <f aca="false">I27-I38</f>
        <v>-17149.3315881134</v>
      </c>
      <c r="K39" s="35" t="n">
        <f aca="false">K27-K38</f>
        <v>-1705.50025387003</v>
      </c>
      <c r="L39" s="35" t="n">
        <f aca="false">L27-L38</f>
        <v>-1614.21630641432</v>
      </c>
      <c r="M39" s="35" t="n">
        <f aca="false">M27-M38</f>
        <v>-1605.33008652309</v>
      </c>
      <c r="N39" s="35" t="n">
        <f aca="false">N27-N38</f>
        <v>-1655.82097906123</v>
      </c>
      <c r="O39" s="35" t="n">
        <f aca="false">O27-O38</f>
        <v>-1618.66766321636</v>
      </c>
      <c r="P39" s="35" t="n">
        <f aca="false">P27-P38</f>
        <v>-1612.84808834124</v>
      </c>
      <c r="Q39" s="35" t="n">
        <f aca="false">Q27-Q38</f>
        <v>-1686.33944896919</v>
      </c>
      <c r="R39" s="29" t="n">
        <f aca="false">R27-R38</f>
        <v>-18526.7228263955</v>
      </c>
    </row>
    <row r="40" customFormat="false" ht="15" hidden="false" customHeight="true" outlineLevel="0" collapsed="false">
      <c r="A40" s="25" t="s">
        <v>170</v>
      </c>
      <c r="B40" s="27" t="n">
        <f aca="false">Inputs!$C$8*(B11-Data_KPIs!$G$5)/1000</f>
        <v>0</v>
      </c>
      <c r="C40" s="27" t="n">
        <f aca="false">0</f>
        <v>0</v>
      </c>
      <c r="D40" s="27" t="n">
        <f aca="false">0</f>
        <v>0</v>
      </c>
      <c r="E40" s="27" t="n">
        <f aca="false">0</f>
        <v>0</v>
      </c>
      <c r="F40" s="27" t="n">
        <f aca="false">0</f>
        <v>0</v>
      </c>
      <c r="G40" s="27" t="n">
        <f aca="false">0</f>
        <v>0</v>
      </c>
      <c r="H40" s="27" t="n">
        <f aca="false">0</f>
        <v>0</v>
      </c>
      <c r="I40" s="29" t="n">
        <f aca="false">SUM(Data_Actuals!$D$11:$H$11)+SUM(B40:H40)</f>
        <v>2300</v>
      </c>
      <c r="K40" s="27" t="n">
        <f aca="false">Inputs!$C$8*(K11-Data_KPIs!$G$5)/1000</f>
        <v>-3456</v>
      </c>
      <c r="L40" s="27" t="n">
        <f aca="false">0</f>
        <v>0</v>
      </c>
      <c r="M40" s="27" t="n">
        <f aca="false">0</f>
        <v>0</v>
      </c>
      <c r="N40" s="27" t="n">
        <f aca="false">0</f>
        <v>0</v>
      </c>
      <c r="O40" s="27" t="n">
        <f aca="false">0</f>
        <v>0</v>
      </c>
      <c r="P40" s="27" t="n">
        <f aca="false">0</f>
        <v>0</v>
      </c>
      <c r="Q40" s="27" t="n">
        <f aca="false">0</f>
        <v>0</v>
      </c>
      <c r="R40" s="29" t="n">
        <f aca="false">SUM(Data_Actuals!$D$11:$H$11)+SUM(K40:Q40)</f>
        <v>-1156</v>
      </c>
    </row>
    <row r="41" customFormat="false" ht="15" hidden="false" customHeight="true" outlineLevel="0" collapsed="false">
      <c r="A41" s="34" t="s">
        <v>171</v>
      </c>
      <c r="B41" s="35" t="n">
        <f aca="false">B39+B40</f>
        <v>-1528.16726324819</v>
      </c>
      <c r="C41" s="35" t="n">
        <f aca="false">C39+C40</f>
        <v>-1430.76809376009</v>
      </c>
      <c r="D41" s="35" t="n">
        <f aca="false">D39+D40</f>
        <v>-1415.55577206517</v>
      </c>
      <c r="E41" s="35" t="n">
        <f aca="false">E39+E40</f>
        <v>-1459.50241096565</v>
      </c>
      <c r="F41" s="35" t="n">
        <f aca="false">F39+F40</f>
        <v>-1415.57916681373</v>
      </c>
      <c r="G41" s="35" t="n">
        <f aca="false">G39+G40</f>
        <v>-1402.75620670628</v>
      </c>
      <c r="H41" s="35" t="n">
        <f aca="false">H39+H40</f>
        <v>-1469.00267455429</v>
      </c>
      <c r="I41" s="29" t="n">
        <f aca="false">I39+I40</f>
        <v>-14849.3315881134</v>
      </c>
      <c r="K41" s="35" t="n">
        <f aca="false">K39+K40</f>
        <v>-5161.50025387003</v>
      </c>
      <c r="L41" s="35" t="n">
        <f aca="false">L39+L40</f>
        <v>-1614.21630641432</v>
      </c>
      <c r="M41" s="35" t="n">
        <f aca="false">M39+M40</f>
        <v>-1605.33008652309</v>
      </c>
      <c r="N41" s="35" t="n">
        <f aca="false">N39+N40</f>
        <v>-1655.82097906123</v>
      </c>
      <c r="O41" s="35" t="n">
        <f aca="false">O39+O40</f>
        <v>-1618.66766321636</v>
      </c>
      <c r="P41" s="35" t="n">
        <f aca="false">P39+P40</f>
        <v>-1612.84808834124</v>
      </c>
      <c r="Q41" s="35" t="n">
        <f aca="false">Q39+Q40</f>
        <v>-1686.33944896919</v>
      </c>
      <c r="R41" s="29" t="n">
        <f aca="false">R39+R40</f>
        <v>-19682.7228263955</v>
      </c>
    </row>
    <row r="43" customFormat="false" ht="15" hidden="false" customHeight="true" outlineLevel="0" collapsed="false">
      <c r="A43" s="21" t="s">
        <v>172</v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</row>
    <row r="44" customFormat="false" ht="15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</row>
  </sheetData>
  <mergeCells count="5">
    <mergeCell ref="A2:R2"/>
    <mergeCell ref="A4:E4"/>
    <mergeCell ref="A9:R9"/>
    <mergeCell ref="A15:R15"/>
    <mergeCell ref="A43:R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" min="2" style="1" width="14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80"/>
  </cols>
  <sheetData>
    <row r="1" customFormat="false" ht="17.25" hidden="false" customHeight="true" outlineLevel="0" collapsed="false">
      <c r="A1" s="2" t="s">
        <v>173</v>
      </c>
    </row>
    <row r="2" customFormat="false" ht="33.75" hidden="false" customHeight="true" outlineLevel="0" collapsed="false">
      <c r="A2" s="36" t="s">
        <v>174</v>
      </c>
      <c r="B2" s="36"/>
      <c r="C2" s="36"/>
      <c r="D2" s="36"/>
      <c r="E2" s="36"/>
      <c r="F2" s="36"/>
      <c r="G2" s="36"/>
      <c r="H2" s="36"/>
    </row>
    <row r="4" customFormat="false" ht="15" hidden="false" customHeight="true" outlineLevel="0" collapsed="false">
      <c r="A4" s="22" t="s">
        <v>175</v>
      </c>
      <c r="B4" s="22" t="s">
        <v>176</v>
      </c>
      <c r="C4" s="22" t="s">
        <v>177</v>
      </c>
      <c r="D4" s="22" t="s">
        <v>178</v>
      </c>
      <c r="E4" s="22" t="s">
        <v>179</v>
      </c>
      <c r="F4" s="22" t="s">
        <v>180</v>
      </c>
    </row>
    <row r="5" customFormat="false" ht="30" hidden="false" customHeight="true" outlineLevel="0" collapsed="false">
      <c r="A5" s="25" t="s">
        <v>163</v>
      </c>
      <c r="B5" s="37" t="n">
        <f aca="false">SUMIFS(GL_Detail!$I$5:$I$27,GL_Detail!$C$5:$C$27,"Cloud &amp; Infrastructure")</f>
        <v>510</v>
      </c>
      <c r="C5" s="26" t="n">
        <f aca="false">Data_Actuals!$H$17</f>
        <v>480</v>
      </c>
      <c r="D5" s="37" t="n">
        <f aca="false">B5-C5</f>
        <v>30</v>
      </c>
      <c r="E5" s="38" t="str">
        <f aca="false">IF(D5=0,"TIES","BREAK")</f>
        <v>BREAK</v>
      </c>
      <c r="F5" s="39" t="s">
        <v>181</v>
      </c>
    </row>
    <row r="6" customFormat="false" ht="30" hidden="false" customHeight="true" outlineLevel="0" collapsed="false">
      <c r="A6" s="25" t="s">
        <v>165</v>
      </c>
      <c r="B6" s="37" t="n">
        <f aca="false">SUMIFS(GL_Detail!$I$5:$I$27,GL_Detail!$C$5:$C$27,"Travel &amp; Events")</f>
        <v>175</v>
      </c>
      <c r="C6" s="26" t="n">
        <f aca="false">Data_Actuals!$H$19</f>
        <v>175</v>
      </c>
      <c r="D6" s="37" t="n">
        <f aca="false">B6-C6</f>
        <v>0</v>
      </c>
      <c r="E6" s="38" t="str">
        <f aca="false">IF(D6=0,"TIES","BREAK")</f>
        <v>TIES</v>
      </c>
      <c r="F6" s="39" t="s">
        <v>182</v>
      </c>
    </row>
    <row r="7" customFormat="false" ht="30" hidden="false" customHeight="true" outlineLevel="0" collapsed="false">
      <c r="A7" s="25" t="s">
        <v>156</v>
      </c>
      <c r="B7" s="37" t="n">
        <f aca="false">SUMIFS(GL_Detail!$I$5:$I$27,GL_Detail!$C$5:$C$27,"Blockstream AMP (SaaS)")</f>
        <v>1380</v>
      </c>
      <c r="C7" s="26" t="n">
        <f aca="false">Data_Actuals!$H$9</f>
        <v>1380</v>
      </c>
      <c r="D7" s="37" t="n">
        <f aca="false">B7-C7</f>
        <v>0</v>
      </c>
      <c r="E7" s="38" t="str">
        <f aca="false">IF(D7=0,"TIES","BREAK")</f>
        <v>TIES</v>
      </c>
      <c r="F7" s="39" t="s">
        <v>183</v>
      </c>
    </row>
    <row r="8" customFormat="false" ht="30" hidden="false" customHeight="true" outlineLevel="0" collapsed="false">
      <c r="A8" s="25" t="s">
        <v>166</v>
      </c>
      <c r="B8" s="37" t="n">
        <f aca="false">SUMIFS(GL_Detail!$I$5:$I$27,GL_Detail!$C$5:$C$27,"Professional Services")</f>
        <v>165</v>
      </c>
      <c r="C8" s="26" t="n">
        <f aca="false">Data_Actuals!$H$20</f>
        <v>165</v>
      </c>
      <c r="D8" s="37" t="n">
        <f aca="false">B8-C8</f>
        <v>0</v>
      </c>
      <c r="E8" s="38" t="str">
        <f aca="false">IF(D8=0,"TIES","BREAK")</f>
        <v>TIES</v>
      </c>
      <c r="F8" s="40" t="s">
        <v>184</v>
      </c>
    </row>
    <row r="9" customFormat="false" ht="30" hidden="false" customHeight="true" outlineLevel="0" collapsed="false">
      <c r="A9" s="25" t="s">
        <v>167</v>
      </c>
      <c r="B9" s="37" t="n">
        <f aca="false">SUMIFS(GL_Detail!$I$5:$I$27,GL_Detail!$C$5:$C$27,"Software &amp; Tools")</f>
        <v>92</v>
      </c>
      <c r="C9" s="26" t="n">
        <f aca="false">Data_Actuals!$H$21</f>
        <v>92</v>
      </c>
      <c r="D9" s="37" t="n">
        <f aca="false">B9-C9</f>
        <v>0</v>
      </c>
      <c r="E9" s="38" t="str">
        <f aca="false">IF(D9=0,"TIES","BREAK")</f>
        <v>TIES</v>
      </c>
      <c r="F9" s="40" t="s">
        <v>185</v>
      </c>
    </row>
    <row r="11" customFormat="false" ht="15" hidden="false" customHeight="true" outlineLevel="0" collapsed="false">
      <c r="A11" s="7" t="s">
        <v>186</v>
      </c>
      <c r="B11" s="7"/>
      <c r="C11" s="7"/>
      <c r="D11" s="7"/>
      <c r="E11" s="7"/>
      <c r="F11" s="7"/>
    </row>
    <row r="12" customFormat="false" ht="15" hidden="false" customHeight="true" outlineLevel="0" collapsed="false">
      <c r="A12" s="23" t="s">
        <v>187</v>
      </c>
      <c r="B12" s="23"/>
      <c r="C12" s="23"/>
      <c r="D12" s="23"/>
      <c r="E12" s="23"/>
      <c r="F12" s="23"/>
    </row>
    <row r="13" customFormat="false" ht="39" hidden="false" customHeight="true" outlineLevel="0" collapsed="false">
      <c r="A13" s="28" t="s">
        <v>188</v>
      </c>
      <c r="B13" s="41" t="s">
        <v>189</v>
      </c>
      <c r="C13" s="41"/>
      <c r="D13" s="41"/>
      <c r="E13" s="41"/>
      <c r="F13" s="41"/>
    </row>
    <row r="14" customFormat="false" ht="25.5" hidden="false" customHeight="true" outlineLevel="0" collapsed="false">
      <c r="A14" s="28" t="s">
        <v>190</v>
      </c>
      <c r="B14" s="41" t="s">
        <v>191</v>
      </c>
      <c r="C14" s="41"/>
      <c r="D14" s="41"/>
      <c r="E14" s="41"/>
      <c r="F14" s="41"/>
    </row>
    <row r="15" customFormat="false" ht="25.5" hidden="false" customHeight="true" outlineLevel="0" collapsed="false">
      <c r="A15" s="28" t="s">
        <v>192</v>
      </c>
      <c r="B15" s="41" t="s">
        <v>193</v>
      </c>
      <c r="C15" s="41"/>
      <c r="D15" s="41"/>
      <c r="E15" s="41"/>
      <c r="F15" s="41"/>
    </row>
    <row r="16" customFormat="false" ht="25.5" hidden="false" customHeight="true" outlineLevel="0" collapsed="false">
      <c r="A16" s="28" t="s">
        <v>194</v>
      </c>
      <c r="B16" s="41" t="s">
        <v>195</v>
      </c>
      <c r="C16" s="41"/>
      <c r="D16" s="41"/>
      <c r="E16" s="41"/>
      <c r="F16" s="41"/>
    </row>
    <row r="17" customFormat="false" ht="25.5" hidden="false" customHeight="true" outlineLevel="0" collapsed="false">
      <c r="A17" s="28" t="s">
        <v>196</v>
      </c>
      <c r="B17" s="41" t="s">
        <v>197</v>
      </c>
      <c r="C17" s="41"/>
      <c r="D17" s="41"/>
      <c r="E17" s="41"/>
      <c r="F17" s="41"/>
    </row>
    <row r="19" customFormat="false" ht="15" hidden="false" customHeight="true" outlineLevel="0" collapsed="false">
      <c r="A19" s="23" t="s">
        <v>198</v>
      </c>
      <c r="B19" s="23"/>
      <c r="C19" s="23"/>
      <c r="D19" s="23"/>
      <c r="E19" s="23"/>
      <c r="F19" s="23"/>
    </row>
    <row r="20" customFormat="false" ht="39" hidden="false" customHeight="true" outlineLevel="0" collapsed="false">
      <c r="A20" s="28" t="s">
        <v>188</v>
      </c>
      <c r="B20" s="41" t="s">
        <v>199</v>
      </c>
      <c r="C20" s="41"/>
      <c r="D20" s="41"/>
      <c r="E20" s="41"/>
      <c r="F20" s="41"/>
    </row>
    <row r="21" customFormat="false" ht="25.5" hidden="false" customHeight="true" outlineLevel="0" collapsed="false">
      <c r="A21" s="28" t="s">
        <v>190</v>
      </c>
      <c r="B21" s="41" t="s">
        <v>200</v>
      </c>
      <c r="C21" s="41"/>
      <c r="D21" s="41"/>
      <c r="E21" s="41"/>
      <c r="F21" s="41"/>
    </row>
    <row r="22" customFormat="false" ht="25.5" hidden="false" customHeight="true" outlineLevel="0" collapsed="false">
      <c r="A22" s="28" t="s">
        <v>192</v>
      </c>
      <c r="B22" s="41" t="s">
        <v>201</v>
      </c>
      <c r="C22" s="41"/>
      <c r="D22" s="41"/>
      <c r="E22" s="41"/>
      <c r="F22" s="41"/>
    </row>
    <row r="23" customFormat="false" ht="25.5" hidden="false" customHeight="true" outlineLevel="0" collapsed="false">
      <c r="A23" s="28" t="s">
        <v>194</v>
      </c>
      <c r="B23" s="41" t="s">
        <v>202</v>
      </c>
      <c r="C23" s="41"/>
      <c r="D23" s="41"/>
      <c r="E23" s="41"/>
      <c r="F23" s="41"/>
    </row>
    <row r="24" customFormat="false" ht="25.5" hidden="false" customHeight="true" outlineLevel="0" collapsed="false">
      <c r="A24" s="28" t="s">
        <v>203</v>
      </c>
      <c r="B24" s="41" t="s">
        <v>204</v>
      </c>
      <c r="C24" s="41"/>
      <c r="D24" s="41"/>
      <c r="E24" s="41"/>
      <c r="F24" s="41"/>
    </row>
    <row r="26" customFormat="false" ht="15" hidden="false" customHeight="true" outlineLevel="0" collapsed="false">
      <c r="A26" s="23" t="s">
        <v>205</v>
      </c>
      <c r="B26" s="23"/>
      <c r="C26" s="23"/>
      <c r="D26" s="23"/>
      <c r="E26" s="23"/>
      <c r="F26" s="23"/>
    </row>
    <row r="27" customFormat="false" ht="51.75" hidden="false" customHeight="true" outlineLevel="0" collapsed="false">
      <c r="A27" s="28" t="s">
        <v>188</v>
      </c>
      <c r="B27" s="41" t="s">
        <v>206</v>
      </c>
      <c r="C27" s="41"/>
      <c r="D27" s="41"/>
      <c r="E27" s="41"/>
      <c r="F27" s="41"/>
    </row>
    <row r="28" customFormat="false" ht="25.5" hidden="false" customHeight="true" outlineLevel="0" collapsed="false">
      <c r="A28" s="28" t="s">
        <v>190</v>
      </c>
      <c r="B28" s="41" t="s">
        <v>207</v>
      </c>
      <c r="C28" s="41"/>
      <c r="D28" s="41"/>
      <c r="E28" s="41"/>
      <c r="F28" s="41"/>
    </row>
    <row r="29" customFormat="false" ht="25.5" hidden="false" customHeight="true" outlineLevel="0" collapsed="false">
      <c r="A29" s="28" t="s">
        <v>192</v>
      </c>
      <c r="B29" s="41" t="s">
        <v>208</v>
      </c>
      <c r="C29" s="41"/>
      <c r="D29" s="41"/>
      <c r="E29" s="41"/>
      <c r="F29" s="41"/>
    </row>
    <row r="30" customFormat="false" ht="39" hidden="false" customHeight="true" outlineLevel="0" collapsed="false">
      <c r="A30" s="28" t="s">
        <v>194</v>
      </c>
      <c r="B30" s="41" t="s">
        <v>209</v>
      </c>
      <c r="C30" s="41"/>
      <c r="D30" s="41"/>
      <c r="E30" s="41"/>
      <c r="F30" s="41"/>
    </row>
    <row r="31" customFormat="false" ht="25.5" hidden="false" customHeight="true" outlineLevel="0" collapsed="false">
      <c r="A31" s="28" t="s">
        <v>203</v>
      </c>
      <c r="B31" s="41" t="s">
        <v>210</v>
      </c>
      <c r="C31" s="41"/>
      <c r="D31" s="41"/>
      <c r="E31" s="41"/>
      <c r="F31" s="41"/>
    </row>
    <row r="33" customFormat="false" ht="15" hidden="false" customHeight="true" outlineLevel="0" collapsed="false">
      <c r="A33" s="7" t="s">
        <v>211</v>
      </c>
      <c r="B33" s="7"/>
      <c r="C33" s="7"/>
      <c r="D33" s="7"/>
      <c r="E33" s="7"/>
      <c r="F33" s="7"/>
    </row>
    <row r="34" customFormat="false" ht="15" hidden="false" customHeight="true" outlineLevel="0" collapsed="false">
      <c r="A34" s="25" t="s">
        <v>212</v>
      </c>
      <c r="B34" s="37" t="n">
        <f aca="false">BvA!B35</f>
        <v>-1656</v>
      </c>
    </row>
    <row r="35" customFormat="false" ht="15" hidden="false" customHeight="true" outlineLevel="0" collapsed="false">
      <c r="A35" s="25" t="s">
        <v>213</v>
      </c>
      <c r="B35" s="37" t="n">
        <f aca="false">150</f>
        <v>150</v>
      </c>
    </row>
    <row r="36" customFormat="false" ht="15" hidden="false" customHeight="true" outlineLevel="0" collapsed="false">
      <c r="A36" s="25" t="s">
        <v>214</v>
      </c>
      <c r="B36" s="37" t="n">
        <f aca="false">-132</f>
        <v>-132</v>
      </c>
    </row>
    <row r="37" customFormat="false" ht="15" hidden="false" customHeight="true" outlineLevel="0" collapsed="false">
      <c r="A37" s="25" t="s">
        <v>215</v>
      </c>
      <c r="B37" s="37" t="n">
        <f aca="false">0</f>
        <v>0</v>
      </c>
    </row>
    <row r="38" customFormat="false" ht="15" hidden="false" customHeight="true" outlineLevel="0" collapsed="false">
      <c r="A38" s="28" t="s">
        <v>216</v>
      </c>
      <c r="B38" s="29" t="n">
        <f aca="false">B34+B35+B36+B37</f>
        <v>-1638</v>
      </c>
    </row>
    <row r="40" customFormat="false" ht="15" hidden="false" customHeight="true" outlineLevel="0" collapsed="false">
      <c r="A40" s="36" t="s">
        <v>217</v>
      </c>
      <c r="B40" s="36"/>
      <c r="C40" s="36"/>
      <c r="D40" s="36"/>
      <c r="E40" s="36"/>
      <c r="F40" s="36"/>
    </row>
    <row r="41" customFormat="false" ht="15" hidden="false" customHeight="true" outlineLevel="0" collapsed="false">
      <c r="A41" s="36"/>
      <c r="B41" s="36"/>
      <c r="C41" s="36"/>
      <c r="D41" s="36"/>
      <c r="E41" s="36"/>
      <c r="F41" s="36"/>
    </row>
  </sheetData>
  <mergeCells count="22">
    <mergeCell ref="A2:H2"/>
    <mergeCell ref="A11:F11"/>
    <mergeCell ref="A12:F12"/>
    <mergeCell ref="B13:F13"/>
    <mergeCell ref="B14:F14"/>
    <mergeCell ref="B15:F15"/>
    <mergeCell ref="B16:F16"/>
    <mergeCell ref="B17:F17"/>
    <mergeCell ref="A19:F19"/>
    <mergeCell ref="B20:F20"/>
    <mergeCell ref="B21:F21"/>
    <mergeCell ref="B22:F22"/>
    <mergeCell ref="B23:F23"/>
    <mergeCell ref="B24:F24"/>
    <mergeCell ref="A26:F26"/>
    <mergeCell ref="B27:F27"/>
    <mergeCell ref="B28:F28"/>
    <mergeCell ref="B29:F29"/>
    <mergeCell ref="B30:F30"/>
    <mergeCell ref="B31:F31"/>
    <mergeCell ref="A33:F33"/>
    <mergeCell ref="A40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4"/>
    <col collapsed="false" customWidth="true" hidden="false" outlineLevel="0" max="4" min="4" style="1" width="18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218</v>
      </c>
    </row>
    <row r="2" customFormat="false" ht="21.75" hidden="false" customHeight="true" outlineLevel="0" collapsed="false">
      <c r="A2" s="36" t="s">
        <v>219</v>
      </c>
      <c r="B2" s="36"/>
      <c r="C2" s="36"/>
      <c r="D2" s="36"/>
      <c r="E2" s="36"/>
      <c r="F2" s="36"/>
    </row>
    <row r="4" customFormat="false" ht="15" hidden="false" customHeight="true" outlineLevel="0" collapsed="false">
      <c r="A4" s="22" t="s">
        <v>220</v>
      </c>
      <c r="B4" s="22" t="s">
        <v>221</v>
      </c>
      <c r="C4" s="22" t="s">
        <v>222</v>
      </c>
      <c r="D4" s="22" t="s">
        <v>223</v>
      </c>
      <c r="E4" s="22" t="s">
        <v>224</v>
      </c>
      <c r="F4" s="22" t="s">
        <v>225</v>
      </c>
    </row>
    <row r="5" customFormat="false" ht="15" hidden="false" customHeight="true" outlineLevel="0" collapsed="false">
      <c r="A5" s="25" t="s">
        <v>226</v>
      </c>
      <c r="B5" s="42" t="s">
        <v>227</v>
      </c>
      <c r="C5" s="26" t="n">
        <f aca="false">BvA!B20</f>
        <v>3406</v>
      </c>
      <c r="D5" s="37" t="n">
        <f aca="false">Data_Actuals!H5+Data_Actuals!H6+Data_Actuals!H7+Data_Actuals!H8+Data_Actuals!H9+Data_Actuals!H10</f>
        <v>3406</v>
      </c>
      <c r="E5" s="37" t="n">
        <f aca="false">C5-D5</f>
        <v>0</v>
      </c>
      <c r="F5" s="32" t="str">
        <f aca="false">IF(ROUND(E5,6)=0,"TIE","BREAK")</f>
        <v>TIE</v>
      </c>
    </row>
    <row r="6" customFormat="false" ht="15" hidden="false" customHeight="true" outlineLevel="0" collapsed="false">
      <c r="A6" s="25" t="s">
        <v>228</v>
      </c>
      <c r="B6" s="42" t="s">
        <v>229</v>
      </c>
      <c r="C6" s="26" t="n">
        <f aca="false">BvA!B35</f>
        <v>-1656</v>
      </c>
      <c r="D6" s="37" t="n">
        <f aca="false">Data_Actuals!H5+Data_Actuals!H6+Data_Actuals!H7+Data_Actuals!H8+Data_Actuals!H9+Data_Actuals!H10-(Data_Actuals!H12+Data_Actuals!H13)-(Data_Actuals!H14+Data_Actuals!H15+Data_Actuals!H16+Data_Actuals!H17+Data_Actuals!H18+Data_Actuals!H19+Data_Actuals!H20+Data_Actuals!H21+Data_Actuals!H22+Data_Actuals!H23)</f>
        <v>-1656</v>
      </c>
      <c r="E6" s="37" t="n">
        <f aca="false">C6-D6</f>
        <v>0</v>
      </c>
      <c r="F6" s="32" t="str">
        <f aca="false">IF(ROUND(E6,6)=0,"TIE","BREAK")</f>
        <v>TIE</v>
      </c>
    </row>
    <row r="7" customFormat="false" ht="15" hidden="false" customHeight="true" outlineLevel="0" collapsed="false">
      <c r="A7" s="25" t="s">
        <v>230</v>
      </c>
      <c r="B7" s="42" t="s">
        <v>231</v>
      </c>
      <c r="C7" s="26" t="n">
        <f aca="false">BvA!G35</f>
        <v>-7028</v>
      </c>
      <c r="D7" s="37" t="n">
        <f aca="false">SUM(Data_Actuals!D5:H5)+SUM(Data_Actuals!D6:H6)+SUM(Data_Actuals!D7:H7)+SUM(Data_Actuals!D8:H8)+SUM(Data_Actuals!D9:H9)+SUM(Data_Actuals!D10:H10)-(SUM(Data_Actuals!D12:H12)+SUM(Data_Actuals!D13:H13))-(SUM(Data_Actuals!D14:H14)+SUM(Data_Actuals!D15:H15)+SUM(Data_Actuals!D16:H16)+SUM(Data_Actuals!D17:H17)+SUM(Data_Actuals!D18:H18)+SUM(Data_Actuals!D19:H19)+SUM(Data_Actuals!D20:H20)+SUM(Data_Actuals!D21:H21)+SUM(Data_Actuals!D22:H22)+SUM(Data_Actuals!D23:H23))</f>
        <v>-7028</v>
      </c>
      <c r="E7" s="37" t="n">
        <f aca="false">C7-D7</f>
        <v>0</v>
      </c>
      <c r="F7" s="32" t="str">
        <f aca="false">IF(ROUND(E7,6)=0,"TIE","BREAK")</f>
        <v>TIE</v>
      </c>
    </row>
    <row r="8" customFormat="false" ht="15" hidden="false" customHeight="true" outlineLevel="0" collapsed="false">
      <c r="A8" s="25" t="s">
        <v>232</v>
      </c>
      <c r="B8" s="42" t="s">
        <v>233</v>
      </c>
      <c r="C8" s="26" t="n">
        <f aca="false">BvA!G36</f>
        <v>2300</v>
      </c>
      <c r="D8" s="37" t="n">
        <f aca="false">SUM(Data_Actuals!D11:H11)</f>
        <v>2300</v>
      </c>
      <c r="E8" s="37" t="n">
        <f aca="false">C8-D8</f>
        <v>0</v>
      </c>
      <c r="F8" s="32" t="str">
        <f aca="false">IF(ROUND(E8,6)=0,"TIE","BREAK")</f>
        <v>TIE</v>
      </c>
    </row>
    <row r="9" customFormat="false" ht="15" hidden="false" customHeight="true" outlineLevel="0" collapsed="false">
      <c r="A9" s="25" t="s">
        <v>234</v>
      </c>
      <c r="B9" s="42" t="s">
        <v>235</v>
      </c>
      <c r="C9" s="26" t="n">
        <f aca="false">GL_Recon!B7</f>
        <v>1380</v>
      </c>
      <c r="D9" s="37" t="n">
        <f aca="false">Data_Actuals!H9</f>
        <v>1380</v>
      </c>
      <c r="E9" s="37" t="n">
        <f aca="false">C9-D9</f>
        <v>0</v>
      </c>
      <c r="F9" s="32" t="str">
        <f aca="false">IF(ROUND(E9,6)=0,"TIE","BREAK")</f>
        <v>TIE</v>
      </c>
    </row>
    <row r="10" customFormat="false" ht="15" hidden="false" customHeight="true" outlineLevel="0" collapsed="false">
      <c r="A10" s="25" t="s">
        <v>236</v>
      </c>
      <c r="B10" s="42" t="s">
        <v>237</v>
      </c>
      <c r="C10" s="26" t="n">
        <f aca="false">Forecast!C5</f>
        <v>-17149.3315881134</v>
      </c>
      <c r="D10" s="37" t="n">
        <f aca="false">Forecast!I39</f>
        <v>-17149.3315881134</v>
      </c>
      <c r="E10" s="37" t="n">
        <f aca="false">C10-D10</f>
        <v>0</v>
      </c>
      <c r="F10" s="32" t="str">
        <f aca="false">IF(ROUND(E10,6)=0,"TIE","BREAK")</f>
        <v>TIE</v>
      </c>
    </row>
    <row r="12" customFormat="false" ht="15" hidden="false" customHeight="true" outlineLevel="0" collapsed="false">
      <c r="A12" s="36" t="s">
        <v>238</v>
      </c>
      <c r="B12" s="36"/>
      <c r="C12" s="36"/>
      <c r="D12" s="36"/>
      <c r="E12" s="36"/>
      <c r="F12" s="36"/>
    </row>
    <row r="13" customFormat="false" ht="15" hidden="false" customHeight="true" outlineLevel="0" collapsed="false">
      <c r="A13" s="36"/>
      <c r="B13" s="36"/>
      <c r="C13" s="36"/>
      <c r="D13" s="36"/>
      <c r="E13" s="36"/>
      <c r="F13" s="36"/>
    </row>
    <row r="15" customFormat="false" ht="21.75" hidden="false" customHeight="true" outlineLevel="0" collapsed="false">
      <c r="A15" s="36" t="s">
        <v>239</v>
      </c>
      <c r="B15" s="36"/>
      <c r="C15" s="36"/>
      <c r="D15" s="36"/>
      <c r="E15" s="36"/>
      <c r="F15" s="36"/>
    </row>
  </sheetData>
  <mergeCells count="3">
    <mergeCell ref="A2:F2"/>
    <mergeCell ref="A12:F13"/>
    <mergeCell ref="A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4" min="2" style="1" width="16"/>
    <col collapsed="false" customWidth="true" hidden="false" outlineLevel="0" max="5" min="5" style="1" width="4"/>
  </cols>
  <sheetData>
    <row r="1" customFormat="false" ht="17.25" hidden="false" customHeight="true" outlineLevel="0" collapsed="false">
      <c r="A1" s="2" t="s">
        <v>240</v>
      </c>
    </row>
    <row r="2" customFormat="false" ht="39.75" hidden="false" customHeight="true" outlineLevel="0" collapsed="false">
      <c r="A2" s="36" t="s">
        <v>241</v>
      </c>
      <c r="B2" s="36"/>
      <c r="C2" s="36"/>
      <c r="D2" s="36"/>
      <c r="E2" s="36"/>
    </row>
    <row r="4" customFormat="false" ht="15" hidden="false" customHeight="true" outlineLevel="0" collapsed="false">
      <c r="A4" s="22"/>
      <c r="B4" s="22" t="s">
        <v>242</v>
      </c>
      <c r="C4" s="22" t="s">
        <v>243</v>
      </c>
      <c r="D4" s="22" t="s">
        <v>244</v>
      </c>
    </row>
    <row r="5" customFormat="false" ht="15" hidden="false" customHeight="true" outlineLevel="0" collapsed="false">
      <c r="A5" s="25" t="s">
        <v>245</v>
      </c>
      <c r="B5" s="43" t="n">
        <f aca="false">Data_KPIs!G16/(Data_KPIs!G16+Data_KPIs!G17)</f>
        <v>0.378531073446328</v>
      </c>
      <c r="C5" s="43" t="n">
        <f aca="false">Data_KPIs!G17/(Data_KPIs!G16+Data_KPIs!G17)</f>
        <v>0.621468926553672</v>
      </c>
      <c r="D5" s="43" t="n">
        <f aca="false">B5+C5</f>
        <v>1</v>
      </c>
    </row>
    <row r="6" customFormat="false" ht="15" hidden="false" customHeight="true" outlineLevel="0" collapsed="false">
      <c r="A6" s="25" t="s">
        <v>246</v>
      </c>
      <c r="B6" s="26" t="n">
        <f aca="false">BvA!B11</f>
        <v>451</v>
      </c>
      <c r="C6" s="26" t="n">
        <f aca="false">BvA!B18</f>
        <v>2235</v>
      </c>
      <c r="D6" s="37" t="n">
        <f aca="false">B6+C6</f>
        <v>2686</v>
      </c>
    </row>
    <row r="7" customFormat="false" ht="15" hidden="false" customHeight="true" outlineLevel="0" collapsed="false">
      <c r="A7" s="25" t="s">
        <v>247</v>
      </c>
      <c r="B7" s="37" t="n">
        <f aca="false">-BvA!B34*B5</f>
        <v>-1643.58192090395</v>
      </c>
      <c r="C7" s="37" t="n">
        <f aca="false">-BvA!B34*C5</f>
        <v>-2698.41807909605</v>
      </c>
      <c r="D7" s="37" t="n">
        <f aca="false">B7+C7</f>
        <v>-4342</v>
      </c>
    </row>
    <row r="8" customFormat="false" ht="15" hidden="false" customHeight="true" outlineLevel="0" collapsed="false">
      <c r="A8" s="28" t="s">
        <v>248</v>
      </c>
      <c r="B8" s="29" t="n">
        <f aca="false">B6+B7</f>
        <v>-1192.58192090395</v>
      </c>
      <c r="C8" s="29" t="n">
        <f aca="false">C6+C7</f>
        <v>-463.418079096045</v>
      </c>
      <c r="D8" s="29" t="n">
        <f aca="false">D6+D7</f>
        <v>-1656</v>
      </c>
    </row>
    <row r="10" customFormat="false" ht="15" hidden="false" customHeight="true" outlineLevel="0" collapsed="false">
      <c r="A10" s="36" t="s">
        <v>249</v>
      </c>
      <c r="B10" s="36"/>
      <c r="C10" s="36"/>
      <c r="D10" s="36"/>
      <c r="E10" s="36"/>
    </row>
    <row r="11" customFormat="false" ht="15" hidden="false" customHeight="true" outlineLevel="0" collapsed="false">
      <c r="A11" s="36"/>
      <c r="B11" s="36"/>
      <c r="C11" s="36"/>
      <c r="D11" s="36"/>
      <c r="E11" s="36"/>
    </row>
  </sheetData>
  <mergeCells count="2">
    <mergeCell ref="A2:E2"/>
    <mergeCell ref="A10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26"/>
    <col collapsed="false" customWidth="true" hidden="false" outlineLevel="0" max="4" min="4" style="1" width="44"/>
    <col collapsed="false" customWidth="true" hidden="false" outlineLevel="0" max="5" min="5" style="1" width="52"/>
  </cols>
  <sheetData>
    <row r="1" customFormat="false" ht="17.25" hidden="false" customHeight="true" outlineLevel="0" collapsed="false">
      <c r="A1" s="2" t="s">
        <v>250</v>
      </c>
    </row>
    <row r="3" customFormat="false" ht="15" hidden="false" customHeight="true" outlineLevel="0" collapsed="false">
      <c r="A3" s="22" t="s">
        <v>251</v>
      </c>
      <c r="B3" s="22" t="s">
        <v>252</v>
      </c>
      <c r="C3" s="22" t="s">
        <v>253</v>
      </c>
      <c r="D3" s="22" t="s">
        <v>254</v>
      </c>
      <c r="E3" s="22" t="s">
        <v>255</v>
      </c>
    </row>
    <row r="4" customFormat="false" ht="63.75" hidden="false" customHeight="true" outlineLevel="0" collapsed="false">
      <c r="A4" s="41" t="s">
        <v>256</v>
      </c>
      <c r="B4" s="41" t="s">
        <v>257</v>
      </c>
      <c r="C4" s="41" t="s">
        <v>258</v>
      </c>
      <c r="D4" s="41" t="s">
        <v>259</v>
      </c>
      <c r="E4" s="41" t="s">
        <v>260</v>
      </c>
    </row>
    <row r="5" customFormat="false" ht="63.75" hidden="false" customHeight="true" outlineLevel="0" collapsed="false">
      <c r="A5" s="41" t="s">
        <v>261</v>
      </c>
      <c r="B5" s="41" t="s">
        <v>262</v>
      </c>
      <c r="C5" s="41" t="s">
        <v>263</v>
      </c>
      <c r="D5" s="41" t="s">
        <v>264</v>
      </c>
      <c r="E5" s="41" t="s">
        <v>265</v>
      </c>
    </row>
    <row r="6" customFormat="false" ht="63.75" hidden="false" customHeight="true" outlineLevel="0" collapsed="false">
      <c r="A6" s="41" t="s">
        <v>266</v>
      </c>
      <c r="B6" s="41" t="s">
        <v>267</v>
      </c>
      <c r="C6" s="41" t="s">
        <v>268</v>
      </c>
      <c r="D6" s="41" t="s">
        <v>269</v>
      </c>
      <c r="E6" s="41" t="s">
        <v>270</v>
      </c>
    </row>
    <row r="7" customFormat="false" ht="63.75" hidden="false" customHeight="true" outlineLevel="0" collapsed="false">
      <c r="A7" s="41" t="s">
        <v>271</v>
      </c>
      <c r="B7" s="41" t="s">
        <v>272</v>
      </c>
      <c r="C7" s="41" t="s">
        <v>273</v>
      </c>
      <c r="D7" s="41" t="s">
        <v>274</v>
      </c>
      <c r="E7" s="41" t="s">
        <v>275</v>
      </c>
    </row>
    <row r="8" customFormat="false" ht="63.75" hidden="false" customHeight="true" outlineLevel="0" collapsed="false">
      <c r="A8" s="41" t="s">
        <v>276</v>
      </c>
      <c r="B8" s="41" t="s">
        <v>277</v>
      </c>
      <c r="C8" s="41" t="s">
        <v>278</v>
      </c>
      <c r="D8" s="41" t="s">
        <v>279</v>
      </c>
      <c r="E8" s="41" t="s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38"/>
    <col collapsed="false" customWidth="true" hidden="false" outlineLevel="0" max="15" min="4" style="1" width="10"/>
  </cols>
  <sheetData>
    <row r="1" customFormat="false" ht="17.25" hidden="false" customHeight="true" outlineLevel="0" collapsed="false">
      <c r="A1" s="6" t="s">
        <v>281</v>
      </c>
    </row>
    <row r="2" customFormat="false" ht="15" hidden="false" customHeight="true" outlineLevel="0" collapsed="false">
      <c r="A2" s="3" t="s">
        <v>282</v>
      </c>
    </row>
    <row r="4" customFormat="false" ht="15" hidden="false" customHeight="true" outlineLevel="0" collapsed="false">
      <c r="A4" s="44" t="s">
        <v>283</v>
      </c>
      <c r="B4" s="44" t="s">
        <v>284</v>
      </c>
      <c r="C4" s="44" t="s">
        <v>285</v>
      </c>
      <c r="D4" s="44" t="s">
        <v>286</v>
      </c>
      <c r="E4" s="44" t="s">
        <v>287</v>
      </c>
      <c r="F4" s="44" t="s">
        <v>288</v>
      </c>
      <c r="G4" s="44" t="s">
        <v>289</v>
      </c>
      <c r="H4" s="44" t="s">
        <v>290</v>
      </c>
    </row>
    <row r="5" customFormat="false" ht="15" hidden="false" customHeight="true" outlineLevel="0" collapsed="false">
      <c r="A5" s="25" t="s">
        <v>242</v>
      </c>
      <c r="B5" s="25" t="s">
        <v>291</v>
      </c>
      <c r="C5" s="25" t="s">
        <v>152</v>
      </c>
      <c r="D5" s="37" t="n">
        <v>620</v>
      </c>
      <c r="E5" s="37" t="n">
        <v>580</v>
      </c>
      <c r="F5" s="37" t="n">
        <v>710</v>
      </c>
      <c r="G5" s="37" t="n">
        <v>540</v>
      </c>
      <c r="H5" s="37" t="n">
        <v>495</v>
      </c>
    </row>
    <row r="6" customFormat="false" ht="15" hidden="false" customHeight="true" outlineLevel="0" collapsed="false">
      <c r="A6" s="25" t="s">
        <v>242</v>
      </c>
      <c r="B6" s="25" t="s">
        <v>291</v>
      </c>
      <c r="C6" s="25" t="s">
        <v>153</v>
      </c>
      <c r="D6" s="37" t="n">
        <v>210</v>
      </c>
      <c r="E6" s="37" t="n">
        <v>218</v>
      </c>
      <c r="F6" s="37" t="n">
        <v>225</v>
      </c>
      <c r="G6" s="37" t="n">
        <v>233</v>
      </c>
      <c r="H6" s="37" t="n">
        <v>240</v>
      </c>
    </row>
    <row r="7" customFormat="false" ht="15" hidden="false" customHeight="true" outlineLevel="0" collapsed="false">
      <c r="A7" s="25" t="s">
        <v>242</v>
      </c>
      <c r="B7" s="25" t="s">
        <v>291</v>
      </c>
      <c r="C7" s="25" t="s">
        <v>154</v>
      </c>
      <c r="D7" s="37" t="n">
        <v>95</v>
      </c>
      <c r="E7" s="37" t="n">
        <v>88</v>
      </c>
      <c r="F7" s="37" t="n">
        <v>110</v>
      </c>
      <c r="G7" s="37" t="n">
        <v>80</v>
      </c>
      <c r="H7" s="37" t="n">
        <v>76</v>
      </c>
    </row>
    <row r="8" customFormat="false" ht="15" hidden="false" customHeight="true" outlineLevel="0" collapsed="false">
      <c r="A8" s="25" t="s">
        <v>243</v>
      </c>
      <c r="B8" s="25" t="s">
        <v>291</v>
      </c>
      <c r="C8" s="25" t="s">
        <v>155</v>
      </c>
      <c r="D8" s="37" t="n">
        <v>380</v>
      </c>
      <c r="E8" s="37" t="n">
        <v>350</v>
      </c>
      <c r="F8" s="37" t="n">
        <v>445</v>
      </c>
      <c r="G8" s="37" t="n">
        <v>405</v>
      </c>
      <c r="H8" s="37" t="n">
        <v>510</v>
      </c>
    </row>
    <row r="9" customFormat="false" ht="15" hidden="false" customHeight="true" outlineLevel="0" collapsed="false">
      <c r="A9" s="25" t="s">
        <v>243</v>
      </c>
      <c r="B9" s="25" t="s">
        <v>291</v>
      </c>
      <c r="C9" s="25" t="s">
        <v>156</v>
      </c>
      <c r="D9" s="37" t="n">
        <v>1250</v>
      </c>
      <c r="E9" s="37" t="n">
        <v>1280</v>
      </c>
      <c r="F9" s="37" t="n">
        <v>1310</v>
      </c>
      <c r="G9" s="37" t="n">
        <v>1345</v>
      </c>
      <c r="H9" s="37" t="n">
        <v>1380</v>
      </c>
    </row>
    <row r="10" customFormat="false" ht="15" hidden="false" customHeight="true" outlineLevel="0" collapsed="false">
      <c r="A10" s="25" t="s">
        <v>243</v>
      </c>
      <c r="B10" s="25" t="s">
        <v>291</v>
      </c>
      <c r="C10" s="25" t="s">
        <v>157</v>
      </c>
      <c r="D10" s="37" t="n">
        <v>640</v>
      </c>
      <c r="E10" s="37" t="n">
        <v>655</v>
      </c>
      <c r="F10" s="37" t="n">
        <v>620</v>
      </c>
      <c r="G10" s="37" t="n">
        <v>680</v>
      </c>
      <c r="H10" s="37" t="n">
        <v>705</v>
      </c>
    </row>
    <row r="11" customFormat="false" ht="15" hidden="false" customHeight="true" outlineLevel="0" collapsed="false">
      <c r="A11" s="25" t="s">
        <v>292</v>
      </c>
      <c r="B11" s="25" t="s">
        <v>293</v>
      </c>
      <c r="C11" s="25" t="s">
        <v>170</v>
      </c>
      <c r="D11" s="37" t="n">
        <v>850</v>
      </c>
      <c r="E11" s="37" t="n">
        <v>-420</v>
      </c>
      <c r="F11" s="37" t="n">
        <v>1100</v>
      </c>
      <c r="G11" s="37" t="n">
        <v>-680</v>
      </c>
      <c r="H11" s="37" t="n">
        <v>1450</v>
      </c>
    </row>
    <row r="12" customFormat="false" ht="15" hidden="false" customHeight="true" outlineLevel="0" collapsed="false">
      <c r="A12" s="25" t="s">
        <v>242</v>
      </c>
      <c r="B12" s="25" t="s">
        <v>294</v>
      </c>
      <c r="C12" s="25" t="s">
        <v>295</v>
      </c>
      <c r="D12" s="37" t="n">
        <v>430</v>
      </c>
      <c r="E12" s="37" t="n">
        <v>405</v>
      </c>
      <c r="F12" s="37" t="n">
        <v>495</v>
      </c>
      <c r="G12" s="37" t="n">
        <v>380</v>
      </c>
      <c r="H12" s="37" t="n">
        <v>360</v>
      </c>
    </row>
    <row r="13" customFormat="false" ht="15" hidden="false" customHeight="true" outlineLevel="0" collapsed="false">
      <c r="A13" s="25" t="s">
        <v>243</v>
      </c>
      <c r="B13" s="25" t="s">
        <v>294</v>
      </c>
      <c r="C13" s="25" t="s">
        <v>296</v>
      </c>
      <c r="D13" s="37" t="n">
        <v>320</v>
      </c>
      <c r="E13" s="37" t="n">
        <v>330</v>
      </c>
      <c r="F13" s="37" t="n">
        <v>315</v>
      </c>
      <c r="G13" s="37" t="n">
        <v>345</v>
      </c>
      <c r="H13" s="37" t="n">
        <v>360</v>
      </c>
    </row>
    <row r="14" customFormat="false" ht="15" hidden="false" customHeight="true" outlineLevel="0" collapsed="false">
      <c r="A14" s="25" t="s">
        <v>292</v>
      </c>
      <c r="B14" s="25" t="s">
        <v>297</v>
      </c>
      <c r="C14" s="25" t="s">
        <v>160</v>
      </c>
      <c r="D14" s="37" t="n">
        <v>1850</v>
      </c>
      <c r="E14" s="37" t="n">
        <v>1880</v>
      </c>
      <c r="F14" s="37" t="n">
        <v>1910</v>
      </c>
      <c r="G14" s="37" t="n">
        <v>1940</v>
      </c>
      <c r="H14" s="37" t="n">
        <v>1975</v>
      </c>
    </row>
    <row r="15" customFormat="false" ht="15" hidden="false" customHeight="true" outlineLevel="0" collapsed="false">
      <c r="A15" s="25" t="s">
        <v>292</v>
      </c>
      <c r="B15" s="25" t="s">
        <v>297</v>
      </c>
      <c r="C15" s="25" t="s">
        <v>161</v>
      </c>
      <c r="D15" s="37" t="n">
        <v>540</v>
      </c>
      <c r="E15" s="37" t="n">
        <v>555</v>
      </c>
      <c r="F15" s="37" t="n">
        <v>560</v>
      </c>
      <c r="G15" s="37" t="n">
        <v>575</v>
      </c>
      <c r="H15" s="37" t="n">
        <v>590</v>
      </c>
    </row>
    <row r="16" customFormat="false" ht="15" hidden="false" customHeight="true" outlineLevel="0" collapsed="false">
      <c r="A16" s="25" t="s">
        <v>292</v>
      </c>
      <c r="B16" s="25" t="s">
        <v>297</v>
      </c>
      <c r="C16" s="25" t="s">
        <v>162</v>
      </c>
      <c r="D16" s="37" t="n">
        <v>420</v>
      </c>
      <c r="E16" s="37" t="n">
        <v>425</v>
      </c>
      <c r="F16" s="37" t="n">
        <v>430</v>
      </c>
      <c r="G16" s="37" t="n">
        <v>440</v>
      </c>
      <c r="H16" s="37" t="n">
        <v>450</v>
      </c>
    </row>
    <row r="17" customFormat="false" ht="15" hidden="false" customHeight="true" outlineLevel="0" collapsed="false">
      <c r="A17" s="25" t="s">
        <v>292</v>
      </c>
      <c r="B17" s="25" t="s">
        <v>297</v>
      </c>
      <c r="C17" s="25" t="s">
        <v>163</v>
      </c>
      <c r="D17" s="37" t="n">
        <v>285</v>
      </c>
      <c r="E17" s="37" t="n">
        <v>295</v>
      </c>
      <c r="F17" s="37" t="n">
        <v>340</v>
      </c>
      <c r="G17" s="37" t="n">
        <v>410</v>
      </c>
      <c r="H17" s="37" t="n">
        <v>480</v>
      </c>
    </row>
    <row r="18" customFormat="false" ht="15" hidden="false" customHeight="true" outlineLevel="0" collapsed="false">
      <c r="A18" s="25" t="s">
        <v>292</v>
      </c>
      <c r="B18" s="25" t="s">
        <v>297</v>
      </c>
      <c r="C18" s="25" t="s">
        <v>164</v>
      </c>
      <c r="D18" s="37" t="n">
        <v>180</v>
      </c>
      <c r="E18" s="37" t="n">
        <v>165</v>
      </c>
      <c r="F18" s="37" t="n">
        <v>220</v>
      </c>
      <c r="G18" s="37" t="n">
        <v>195</v>
      </c>
      <c r="H18" s="37" t="n">
        <v>240</v>
      </c>
    </row>
    <row r="19" customFormat="false" ht="15" hidden="false" customHeight="true" outlineLevel="0" collapsed="false">
      <c r="A19" s="25" t="s">
        <v>292</v>
      </c>
      <c r="B19" s="25" t="s">
        <v>297</v>
      </c>
      <c r="C19" s="25" t="s">
        <v>165</v>
      </c>
      <c r="D19" s="37" t="n">
        <v>65</v>
      </c>
      <c r="E19" s="37" t="n">
        <v>48</v>
      </c>
      <c r="F19" s="37" t="n">
        <v>120</v>
      </c>
      <c r="G19" s="37" t="n">
        <v>95</v>
      </c>
      <c r="H19" s="37" t="n">
        <v>175</v>
      </c>
    </row>
    <row r="20" customFormat="false" ht="15" hidden="false" customHeight="true" outlineLevel="0" collapsed="false">
      <c r="A20" s="25" t="s">
        <v>292</v>
      </c>
      <c r="B20" s="25" t="s">
        <v>297</v>
      </c>
      <c r="C20" s="25" t="s">
        <v>166</v>
      </c>
      <c r="D20" s="37" t="n">
        <v>95</v>
      </c>
      <c r="E20" s="37" t="n">
        <v>110</v>
      </c>
      <c r="F20" s="37" t="n">
        <v>140</v>
      </c>
      <c r="G20" s="37" t="n">
        <v>180</v>
      </c>
      <c r="H20" s="37" t="n">
        <v>165</v>
      </c>
    </row>
    <row r="21" customFormat="false" ht="15" hidden="false" customHeight="true" outlineLevel="0" collapsed="false">
      <c r="A21" s="25" t="s">
        <v>292</v>
      </c>
      <c r="B21" s="25" t="s">
        <v>297</v>
      </c>
      <c r="C21" s="25" t="s">
        <v>167</v>
      </c>
      <c r="D21" s="37" t="n">
        <v>78</v>
      </c>
      <c r="E21" s="37" t="n">
        <v>82</v>
      </c>
      <c r="F21" s="37" t="n">
        <v>85</v>
      </c>
      <c r="G21" s="37" t="n">
        <v>88</v>
      </c>
      <c r="H21" s="37" t="n">
        <v>92</v>
      </c>
    </row>
    <row r="22" customFormat="false" ht="15" hidden="false" customHeight="true" outlineLevel="0" collapsed="false">
      <c r="A22" s="25" t="s">
        <v>292</v>
      </c>
      <c r="B22" s="25" t="s">
        <v>297</v>
      </c>
      <c r="C22" s="25" t="s">
        <v>168</v>
      </c>
      <c r="D22" s="37" t="n">
        <v>110</v>
      </c>
      <c r="E22" s="37" t="n">
        <v>110</v>
      </c>
      <c r="F22" s="37" t="n">
        <v>112</v>
      </c>
      <c r="G22" s="37" t="n">
        <v>112</v>
      </c>
      <c r="H22" s="37" t="n">
        <v>115</v>
      </c>
    </row>
    <row r="23" customFormat="false" ht="15" hidden="false" customHeight="true" outlineLevel="0" collapsed="false">
      <c r="A23" s="25" t="s">
        <v>292</v>
      </c>
      <c r="B23" s="25" t="s">
        <v>297</v>
      </c>
      <c r="C23" s="25" t="s">
        <v>169</v>
      </c>
      <c r="D23" s="37" t="n">
        <v>45</v>
      </c>
      <c r="E23" s="37" t="n">
        <v>38</v>
      </c>
      <c r="F23" s="37" t="n">
        <v>52</v>
      </c>
      <c r="G23" s="37" t="n">
        <v>41</v>
      </c>
      <c r="H23" s="37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38"/>
    <col collapsed="false" customWidth="true" hidden="false" outlineLevel="0" max="15" min="4" style="1" width="10"/>
  </cols>
  <sheetData>
    <row r="1" customFormat="false" ht="17.25" hidden="false" customHeight="true" outlineLevel="0" collapsed="false">
      <c r="A1" s="6" t="s">
        <v>298</v>
      </c>
    </row>
    <row r="2" customFormat="false" ht="15" hidden="false" customHeight="true" outlineLevel="0" collapsed="false">
      <c r="A2" s="3" t="s">
        <v>299</v>
      </c>
    </row>
    <row r="4" customFormat="false" ht="15" hidden="false" customHeight="true" outlineLevel="0" collapsed="false">
      <c r="A4" s="44" t="s">
        <v>283</v>
      </c>
      <c r="B4" s="44" t="s">
        <v>284</v>
      </c>
      <c r="C4" s="44" t="s">
        <v>285</v>
      </c>
      <c r="D4" s="44" t="s">
        <v>286</v>
      </c>
      <c r="E4" s="44" t="s">
        <v>287</v>
      </c>
      <c r="F4" s="44" t="s">
        <v>288</v>
      </c>
      <c r="G4" s="44" t="s">
        <v>289</v>
      </c>
      <c r="H4" s="44" t="s">
        <v>290</v>
      </c>
      <c r="I4" s="44" t="s">
        <v>300</v>
      </c>
      <c r="J4" s="44" t="s">
        <v>301</v>
      </c>
      <c r="K4" s="44" t="s">
        <v>302</v>
      </c>
      <c r="L4" s="44" t="s">
        <v>303</v>
      </c>
      <c r="M4" s="44" t="s">
        <v>304</v>
      </c>
      <c r="N4" s="44" t="s">
        <v>305</v>
      </c>
      <c r="O4" s="44" t="s">
        <v>306</v>
      </c>
    </row>
    <row r="5" customFormat="false" ht="15" hidden="false" customHeight="true" outlineLevel="0" collapsed="false">
      <c r="A5" s="25" t="s">
        <v>242</v>
      </c>
      <c r="B5" s="25" t="s">
        <v>291</v>
      </c>
      <c r="C5" s="25" t="s">
        <v>152</v>
      </c>
      <c r="D5" s="37" t="n">
        <v>600</v>
      </c>
      <c r="E5" s="37" t="n">
        <v>600</v>
      </c>
      <c r="F5" s="37" t="n">
        <v>620</v>
      </c>
      <c r="G5" s="37" t="n">
        <v>640</v>
      </c>
      <c r="H5" s="37" t="n">
        <v>660</v>
      </c>
      <c r="I5" s="37" t="n">
        <v>680</v>
      </c>
      <c r="J5" s="37" t="n">
        <v>700</v>
      </c>
      <c r="K5" s="37" t="n">
        <v>720</v>
      </c>
      <c r="L5" s="37" t="n">
        <v>720</v>
      </c>
      <c r="M5" s="37" t="n">
        <v>740</v>
      </c>
      <c r="N5" s="37" t="n">
        <v>760</v>
      </c>
      <c r="O5" s="37" t="n">
        <v>800</v>
      </c>
    </row>
    <row r="6" customFormat="false" ht="15" hidden="false" customHeight="true" outlineLevel="0" collapsed="false">
      <c r="A6" s="25" t="s">
        <v>242</v>
      </c>
      <c r="B6" s="25" t="s">
        <v>291</v>
      </c>
      <c r="C6" s="25" t="s">
        <v>153</v>
      </c>
      <c r="D6" s="37" t="n">
        <v>205</v>
      </c>
      <c r="E6" s="37" t="n">
        <v>212</v>
      </c>
      <c r="F6" s="37" t="n">
        <v>219</v>
      </c>
      <c r="G6" s="37" t="n">
        <v>226</v>
      </c>
      <c r="H6" s="37" t="n">
        <v>233</v>
      </c>
      <c r="I6" s="37" t="n">
        <v>240</v>
      </c>
      <c r="J6" s="37" t="n">
        <v>248</v>
      </c>
      <c r="K6" s="37" t="n">
        <v>256</v>
      </c>
      <c r="L6" s="37" t="n">
        <v>264</v>
      </c>
      <c r="M6" s="37" t="n">
        <v>272</v>
      </c>
      <c r="N6" s="37" t="n">
        <v>280</v>
      </c>
      <c r="O6" s="37" t="n">
        <v>288</v>
      </c>
    </row>
    <row r="7" customFormat="false" ht="15" hidden="false" customHeight="true" outlineLevel="0" collapsed="false">
      <c r="A7" s="25" t="s">
        <v>242</v>
      </c>
      <c r="B7" s="25" t="s">
        <v>291</v>
      </c>
      <c r="C7" s="25" t="s">
        <v>154</v>
      </c>
      <c r="D7" s="37" t="n">
        <v>90</v>
      </c>
      <c r="E7" s="37" t="n">
        <v>90</v>
      </c>
      <c r="F7" s="37" t="n">
        <v>95</v>
      </c>
      <c r="G7" s="37" t="n">
        <v>95</v>
      </c>
      <c r="H7" s="37" t="n">
        <v>100</v>
      </c>
      <c r="I7" s="37" t="n">
        <v>100</v>
      </c>
      <c r="J7" s="37" t="n">
        <v>105</v>
      </c>
      <c r="K7" s="37" t="n">
        <v>105</v>
      </c>
      <c r="L7" s="37" t="n">
        <v>110</v>
      </c>
      <c r="M7" s="37" t="n">
        <v>110</v>
      </c>
      <c r="N7" s="37" t="n">
        <v>115</v>
      </c>
      <c r="O7" s="37" t="n">
        <v>120</v>
      </c>
    </row>
    <row r="8" customFormat="false" ht="15" hidden="false" customHeight="true" outlineLevel="0" collapsed="false">
      <c r="A8" s="25" t="s">
        <v>243</v>
      </c>
      <c r="B8" s="25" t="s">
        <v>291</v>
      </c>
      <c r="C8" s="25" t="s">
        <v>155</v>
      </c>
      <c r="D8" s="37" t="n">
        <v>370</v>
      </c>
      <c r="E8" s="37" t="n">
        <v>385</v>
      </c>
      <c r="F8" s="37" t="n">
        <v>400</v>
      </c>
      <c r="G8" s="37" t="n">
        <v>415</v>
      </c>
      <c r="H8" s="37" t="n">
        <v>430</v>
      </c>
      <c r="I8" s="37" t="n">
        <v>445</v>
      </c>
      <c r="J8" s="37" t="n">
        <v>460</v>
      </c>
      <c r="K8" s="37" t="n">
        <v>475</v>
      </c>
      <c r="L8" s="37" t="n">
        <v>490</v>
      </c>
      <c r="M8" s="37" t="n">
        <v>505</v>
      </c>
      <c r="N8" s="37" t="n">
        <v>520</v>
      </c>
      <c r="O8" s="37" t="n">
        <v>535</v>
      </c>
    </row>
    <row r="9" customFormat="false" ht="15" hidden="false" customHeight="true" outlineLevel="0" collapsed="false">
      <c r="A9" s="25" t="s">
        <v>243</v>
      </c>
      <c r="B9" s="25" t="s">
        <v>291</v>
      </c>
      <c r="C9" s="25" t="s">
        <v>156</v>
      </c>
      <c r="D9" s="37" t="n">
        <v>1230</v>
      </c>
      <c r="E9" s="37" t="n">
        <v>1270</v>
      </c>
      <c r="F9" s="37" t="n">
        <v>1310</v>
      </c>
      <c r="G9" s="37" t="n">
        <v>1350</v>
      </c>
      <c r="H9" s="37" t="n">
        <v>1390</v>
      </c>
      <c r="I9" s="37" t="n">
        <v>1430</v>
      </c>
      <c r="J9" s="37" t="n">
        <v>1470</v>
      </c>
      <c r="K9" s="37" t="n">
        <v>1510</v>
      </c>
      <c r="L9" s="37" t="n">
        <v>1550</v>
      </c>
      <c r="M9" s="37" t="n">
        <v>1590</v>
      </c>
      <c r="N9" s="37" t="n">
        <v>1630</v>
      </c>
      <c r="O9" s="37" t="n">
        <v>1670</v>
      </c>
    </row>
    <row r="10" customFormat="false" ht="15" hidden="false" customHeight="true" outlineLevel="0" collapsed="false">
      <c r="A10" s="25" t="s">
        <v>243</v>
      </c>
      <c r="B10" s="25" t="s">
        <v>291</v>
      </c>
      <c r="C10" s="25" t="s">
        <v>157</v>
      </c>
      <c r="D10" s="37" t="n">
        <v>620</v>
      </c>
      <c r="E10" s="37" t="n">
        <v>630</v>
      </c>
      <c r="F10" s="37" t="n">
        <v>640</v>
      </c>
      <c r="G10" s="37" t="n">
        <v>650</v>
      </c>
      <c r="H10" s="37" t="n">
        <v>660</v>
      </c>
      <c r="I10" s="37" t="n">
        <v>670</v>
      </c>
      <c r="J10" s="37" t="n">
        <v>680</v>
      </c>
      <c r="K10" s="37" t="n">
        <v>690</v>
      </c>
      <c r="L10" s="37" t="n">
        <v>700</v>
      </c>
      <c r="M10" s="37" t="n">
        <v>710</v>
      </c>
      <c r="N10" s="37" t="n">
        <v>720</v>
      </c>
      <c r="O10" s="37" t="n">
        <v>730</v>
      </c>
    </row>
    <row r="11" customFormat="false" ht="15" hidden="false" customHeight="true" outlineLevel="0" collapsed="false">
      <c r="A11" s="25" t="s">
        <v>292</v>
      </c>
      <c r="B11" s="25" t="s">
        <v>293</v>
      </c>
      <c r="C11" s="25" t="s">
        <v>170</v>
      </c>
      <c r="D11" s="37" t="n">
        <v>0</v>
      </c>
      <c r="E11" s="37" t="n">
        <v>0</v>
      </c>
      <c r="F11" s="37" t="n">
        <v>0</v>
      </c>
      <c r="G11" s="37" t="n">
        <v>0</v>
      </c>
      <c r="H11" s="37" t="n">
        <v>0</v>
      </c>
      <c r="I11" s="37" t="n">
        <v>0</v>
      </c>
      <c r="J11" s="37" t="n">
        <v>0</v>
      </c>
      <c r="K11" s="37" t="n">
        <v>0</v>
      </c>
      <c r="L11" s="37" t="n">
        <v>0</v>
      </c>
      <c r="M11" s="37" t="n">
        <v>0</v>
      </c>
      <c r="N11" s="37" t="n">
        <v>0</v>
      </c>
      <c r="O11" s="37" t="n">
        <v>0</v>
      </c>
    </row>
    <row r="12" customFormat="false" ht="15" hidden="false" customHeight="true" outlineLevel="0" collapsed="false">
      <c r="A12" s="25" t="s">
        <v>242</v>
      </c>
      <c r="B12" s="25" t="s">
        <v>294</v>
      </c>
      <c r="C12" s="25" t="s">
        <v>295</v>
      </c>
      <c r="D12" s="37" t="n">
        <v>410</v>
      </c>
      <c r="E12" s="37" t="n">
        <v>410</v>
      </c>
      <c r="F12" s="37" t="n">
        <v>425</v>
      </c>
      <c r="G12" s="37" t="n">
        <v>440</v>
      </c>
      <c r="H12" s="37" t="n">
        <v>455</v>
      </c>
      <c r="I12" s="37" t="n">
        <v>470</v>
      </c>
      <c r="J12" s="37" t="n">
        <v>485</v>
      </c>
      <c r="K12" s="37" t="n">
        <v>500</v>
      </c>
      <c r="L12" s="37" t="n">
        <v>505</v>
      </c>
      <c r="M12" s="37" t="n">
        <v>520</v>
      </c>
      <c r="N12" s="37" t="n">
        <v>535</v>
      </c>
      <c r="O12" s="37" t="n">
        <v>560</v>
      </c>
    </row>
    <row r="13" customFormat="false" ht="15" hidden="false" customHeight="true" outlineLevel="0" collapsed="false">
      <c r="A13" s="25" t="s">
        <v>243</v>
      </c>
      <c r="B13" s="25" t="s">
        <v>294</v>
      </c>
      <c r="C13" s="25" t="s">
        <v>296</v>
      </c>
      <c r="D13" s="37" t="n">
        <v>320</v>
      </c>
      <c r="E13" s="37" t="n">
        <v>325</v>
      </c>
      <c r="F13" s="37" t="n">
        <v>330</v>
      </c>
      <c r="G13" s="37" t="n">
        <v>335</v>
      </c>
      <c r="H13" s="37" t="n">
        <v>340</v>
      </c>
      <c r="I13" s="37" t="n">
        <v>345</v>
      </c>
      <c r="J13" s="37" t="n">
        <v>350</v>
      </c>
      <c r="K13" s="37" t="n">
        <v>355</v>
      </c>
      <c r="L13" s="37" t="n">
        <v>360</v>
      </c>
      <c r="M13" s="37" t="n">
        <v>365</v>
      </c>
      <c r="N13" s="37" t="n">
        <v>370</v>
      </c>
      <c r="O13" s="37" t="n">
        <v>375</v>
      </c>
    </row>
    <row r="14" customFormat="false" ht="15" hidden="false" customHeight="true" outlineLevel="0" collapsed="false">
      <c r="A14" s="25" t="s">
        <v>292</v>
      </c>
      <c r="B14" s="25" t="s">
        <v>297</v>
      </c>
      <c r="C14" s="25" t="s">
        <v>160</v>
      </c>
      <c r="D14" s="37" t="n">
        <v>1820</v>
      </c>
      <c r="E14" s="37" t="n">
        <v>1850</v>
      </c>
      <c r="F14" s="37" t="n">
        <v>1880</v>
      </c>
      <c r="G14" s="37" t="n">
        <v>1910</v>
      </c>
      <c r="H14" s="37" t="n">
        <v>1940</v>
      </c>
      <c r="I14" s="37" t="n">
        <v>1970</v>
      </c>
      <c r="J14" s="37" t="n">
        <v>2000</v>
      </c>
      <c r="K14" s="37" t="n">
        <v>2030</v>
      </c>
      <c r="L14" s="37" t="n">
        <v>2060</v>
      </c>
      <c r="M14" s="37" t="n">
        <v>2090</v>
      </c>
      <c r="N14" s="37" t="n">
        <v>2120</v>
      </c>
      <c r="O14" s="37" t="n">
        <v>2150</v>
      </c>
    </row>
    <row r="15" customFormat="false" ht="15" hidden="false" customHeight="true" outlineLevel="0" collapsed="false">
      <c r="A15" s="25" t="s">
        <v>292</v>
      </c>
      <c r="B15" s="25" t="s">
        <v>297</v>
      </c>
      <c r="C15" s="25" t="s">
        <v>161</v>
      </c>
      <c r="D15" s="37" t="n">
        <v>530</v>
      </c>
      <c r="E15" s="37" t="n">
        <v>540</v>
      </c>
      <c r="F15" s="37" t="n">
        <v>550</v>
      </c>
      <c r="G15" s="37" t="n">
        <v>560</v>
      </c>
      <c r="H15" s="37" t="n">
        <v>570</v>
      </c>
      <c r="I15" s="37" t="n">
        <v>580</v>
      </c>
      <c r="J15" s="37" t="n">
        <v>590</v>
      </c>
      <c r="K15" s="37" t="n">
        <v>600</v>
      </c>
      <c r="L15" s="37" t="n">
        <v>610</v>
      </c>
      <c r="M15" s="37" t="n">
        <v>620</v>
      </c>
      <c r="N15" s="37" t="n">
        <v>630</v>
      </c>
      <c r="O15" s="37" t="n">
        <v>640</v>
      </c>
    </row>
    <row r="16" customFormat="false" ht="15" hidden="false" customHeight="true" outlineLevel="0" collapsed="false">
      <c r="A16" s="25" t="s">
        <v>292</v>
      </c>
      <c r="B16" s="25" t="s">
        <v>297</v>
      </c>
      <c r="C16" s="25" t="s">
        <v>162</v>
      </c>
      <c r="D16" s="37" t="n">
        <v>415</v>
      </c>
      <c r="E16" s="37" t="n">
        <v>420</v>
      </c>
      <c r="F16" s="37" t="n">
        <v>425</v>
      </c>
      <c r="G16" s="37" t="n">
        <v>430</v>
      </c>
      <c r="H16" s="37" t="n">
        <v>435</v>
      </c>
      <c r="I16" s="37" t="n">
        <v>440</v>
      </c>
      <c r="J16" s="37" t="n">
        <v>445</v>
      </c>
      <c r="K16" s="37" t="n">
        <v>450</v>
      </c>
      <c r="L16" s="37" t="n">
        <v>455</v>
      </c>
      <c r="M16" s="37" t="n">
        <v>460</v>
      </c>
      <c r="N16" s="37" t="n">
        <v>465</v>
      </c>
      <c r="O16" s="37" t="n">
        <v>470</v>
      </c>
    </row>
    <row r="17" customFormat="false" ht="15" hidden="false" customHeight="true" outlineLevel="0" collapsed="false">
      <c r="A17" s="25" t="s">
        <v>292</v>
      </c>
      <c r="B17" s="25" t="s">
        <v>297</v>
      </c>
      <c r="C17" s="25" t="s">
        <v>163</v>
      </c>
      <c r="D17" s="37" t="n">
        <v>280</v>
      </c>
      <c r="E17" s="37" t="n">
        <v>285</v>
      </c>
      <c r="F17" s="37" t="n">
        <v>290</v>
      </c>
      <c r="G17" s="37" t="n">
        <v>295</v>
      </c>
      <c r="H17" s="37" t="n">
        <v>300</v>
      </c>
      <c r="I17" s="37" t="n">
        <v>305</v>
      </c>
      <c r="J17" s="37" t="n">
        <v>310</v>
      </c>
      <c r="K17" s="37" t="n">
        <v>315</v>
      </c>
      <c r="L17" s="37" t="n">
        <v>320</v>
      </c>
      <c r="M17" s="37" t="n">
        <v>325</v>
      </c>
      <c r="N17" s="37" t="n">
        <v>330</v>
      </c>
      <c r="O17" s="37" t="n">
        <v>335</v>
      </c>
    </row>
    <row r="18" customFormat="false" ht="15" hidden="false" customHeight="true" outlineLevel="0" collapsed="false">
      <c r="A18" s="25" t="s">
        <v>292</v>
      </c>
      <c r="B18" s="25" t="s">
        <v>297</v>
      </c>
      <c r="C18" s="25" t="s">
        <v>164</v>
      </c>
      <c r="D18" s="37" t="n">
        <v>175</v>
      </c>
      <c r="E18" s="37" t="n">
        <v>175</v>
      </c>
      <c r="F18" s="37" t="n">
        <v>200</v>
      </c>
      <c r="G18" s="37" t="n">
        <v>200</v>
      </c>
      <c r="H18" s="37" t="n">
        <v>200</v>
      </c>
      <c r="I18" s="37" t="n">
        <v>225</v>
      </c>
      <c r="J18" s="37" t="n">
        <v>225</v>
      </c>
      <c r="K18" s="37" t="n">
        <v>225</v>
      </c>
      <c r="L18" s="37" t="n">
        <v>250</v>
      </c>
      <c r="M18" s="37" t="n">
        <v>250</v>
      </c>
      <c r="N18" s="37" t="n">
        <v>250</v>
      </c>
      <c r="O18" s="37" t="n">
        <v>275</v>
      </c>
    </row>
    <row r="19" customFormat="false" ht="15" hidden="false" customHeight="true" outlineLevel="0" collapsed="false">
      <c r="A19" s="25" t="s">
        <v>292</v>
      </c>
      <c r="B19" s="25" t="s">
        <v>297</v>
      </c>
      <c r="C19" s="25" t="s">
        <v>165</v>
      </c>
      <c r="D19" s="37" t="n">
        <v>60</v>
      </c>
      <c r="E19" s="37" t="n">
        <v>60</v>
      </c>
      <c r="F19" s="37" t="n">
        <v>90</v>
      </c>
      <c r="G19" s="37" t="n">
        <v>80</v>
      </c>
      <c r="H19" s="37" t="n">
        <v>80</v>
      </c>
      <c r="I19" s="37" t="n">
        <v>150</v>
      </c>
      <c r="J19" s="37" t="n">
        <v>80</v>
      </c>
      <c r="K19" s="37" t="n">
        <v>80</v>
      </c>
      <c r="L19" s="37" t="n">
        <v>90</v>
      </c>
      <c r="M19" s="37" t="n">
        <v>80</v>
      </c>
      <c r="N19" s="37" t="n">
        <v>80</v>
      </c>
      <c r="O19" s="37" t="n">
        <v>100</v>
      </c>
    </row>
    <row r="20" customFormat="false" ht="15" hidden="false" customHeight="true" outlineLevel="0" collapsed="false">
      <c r="A20" s="25" t="s">
        <v>292</v>
      </c>
      <c r="B20" s="25" t="s">
        <v>297</v>
      </c>
      <c r="C20" s="25" t="s">
        <v>166</v>
      </c>
      <c r="D20" s="37" t="n">
        <v>100</v>
      </c>
      <c r="E20" s="37" t="n">
        <v>100</v>
      </c>
      <c r="F20" s="37" t="n">
        <v>120</v>
      </c>
      <c r="G20" s="37" t="n">
        <v>120</v>
      </c>
      <c r="H20" s="37" t="n">
        <v>120</v>
      </c>
      <c r="I20" s="37" t="n">
        <v>140</v>
      </c>
      <c r="J20" s="37" t="n">
        <v>120</v>
      </c>
      <c r="K20" s="37" t="n">
        <v>120</v>
      </c>
      <c r="L20" s="37" t="n">
        <v>140</v>
      </c>
      <c r="M20" s="37" t="n">
        <v>120</v>
      </c>
      <c r="N20" s="37" t="n">
        <v>120</v>
      </c>
      <c r="O20" s="37" t="n">
        <v>160</v>
      </c>
    </row>
    <row r="21" customFormat="false" ht="15" hidden="false" customHeight="true" outlineLevel="0" collapsed="false">
      <c r="A21" s="25" t="s">
        <v>292</v>
      </c>
      <c r="B21" s="25" t="s">
        <v>297</v>
      </c>
      <c r="C21" s="25" t="s">
        <v>167</v>
      </c>
      <c r="D21" s="37" t="n">
        <v>80</v>
      </c>
      <c r="E21" s="37" t="n">
        <v>80</v>
      </c>
      <c r="F21" s="37" t="n">
        <v>82</v>
      </c>
      <c r="G21" s="37" t="n">
        <v>82</v>
      </c>
      <c r="H21" s="37" t="n">
        <v>84</v>
      </c>
      <c r="I21" s="37" t="n">
        <v>84</v>
      </c>
      <c r="J21" s="37" t="n">
        <v>86</v>
      </c>
      <c r="K21" s="37" t="n">
        <v>86</v>
      </c>
      <c r="L21" s="37" t="n">
        <v>88</v>
      </c>
      <c r="M21" s="37" t="n">
        <v>88</v>
      </c>
      <c r="N21" s="37" t="n">
        <v>90</v>
      </c>
      <c r="O21" s="37" t="n">
        <v>90</v>
      </c>
    </row>
    <row r="22" customFormat="false" ht="15" hidden="false" customHeight="true" outlineLevel="0" collapsed="false">
      <c r="A22" s="25" t="s">
        <v>292</v>
      </c>
      <c r="B22" s="25" t="s">
        <v>297</v>
      </c>
      <c r="C22" s="25" t="s">
        <v>168</v>
      </c>
      <c r="D22" s="37" t="n">
        <v>110</v>
      </c>
      <c r="E22" s="37" t="n">
        <v>110</v>
      </c>
      <c r="F22" s="37" t="n">
        <v>110</v>
      </c>
      <c r="G22" s="37" t="n">
        <v>112</v>
      </c>
      <c r="H22" s="37" t="n">
        <v>112</v>
      </c>
      <c r="I22" s="37" t="n">
        <v>112</v>
      </c>
      <c r="J22" s="37" t="n">
        <v>115</v>
      </c>
      <c r="K22" s="37" t="n">
        <v>115</v>
      </c>
      <c r="L22" s="37" t="n">
        <v>115</v>
      </c>
      <c r="M22" s="37" t="n">
        <v>118</v>
      </c>
      <c r="N22" s="37" t="n">
        <v>118</v>
      </c>
      <c r="O22" s="37" t="n">
        <v>118</v>
      </c>
    </row>
    <row r="23" customFormat="false" ht="15" hidden="false" customHeight="true" outlineLevel="0" collapsed="false">
      <c r="A23" s="25" t="s">
        <v>292</v>
      </c>
      <c r="B23" s="25" t="s">
        <v>297</v>
      </c>
      <c r="C23" s="25" t="s">
        <v>169</v>
      </c>
      <c r="D23" s="37" t="n">
        <v>45</v>
      </c>
      <c r="E23" s="37" t="n">
        <v>45</v>
      </c>
      <c r="F23" s="37" t="n">
        <v>48</v>
      </c>
      <c r="G23" s="37" t="n">
        <v>48</v>
      </c>
      <c r="H23" s="37" t="n">
        <v>50</v>
      </c>
      <c r="I23" s="37" t="n">
        <v>50</v>
      </c>
      <c r="J23" s="37" t="n">
        <v>52</v>
      </c>
      <c r="K23" s="37" t="n">
        <v>52</v>
      </c>
      <c r="L23" s="37" t="n">
        <v>55</v>
      </c>
      <c r="M23" s="37" t="n">
        <v>55</v>
      </c>
      <c r="N23" s="37" t="n">
        <v>58</v>
      </c>
      <c r="O23" s="37" t="n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38"/>
    <col collapsed="false" customWidth="true" hidden="false" outlineLevel="0" max="15" min="4" style="1" width="10"/>
  </cols>
  <sheetData>
    <row r="1" customFormat="false" ht="17.25" hidden="false" customHeight="true" outlineLevel="0" collapsed="false">
      <c r="A1" s="6" t="s">
        <v>307</v>
      </c>
    </row>
    <row r="2" customFormat="false" ht="15" hidden="false" customHeight="true" outlineLevel="0" collapsed="false">
      <c r="A2" s="3" t="s">
        <v>308</v>
      </c>
    </row>
    <row r="4" customFormat="false" ht="15" hidden="false" customHeight="true" outlineLevel="0" collapsed="false">
      <c r="A4" s="44" t="s">
        <v>309</v>
      </c>
      <c r="B4" s="44" t="s">
        <v>310</v>
      </c>
      <c r="C4" s="44" t="s">
        <v>286</v>
      </c>
      <c r="D4" s="44" t="s">
        <v>287</v>
      </c>
      <c r="E4" s="44" t="s">
        <v>288</v>
      </c>
      <c r="F4" s="44" t="s">
        <v>289</v>
      </c>
      <c r="G4" s="44" t="s">
        <v>290</v>
      </c>
    </row>
    <row r="5" customFormat="false" ht="15" hidden="false" customHeight="true" outlineLevel="0" collapsed="false">
      <c r="A5" s="25" t="s">
        <v>311</v>
      </c>
      <c r="B5" s="25" t="s">
        <v>312</v>
      </c>
      <c r="C5" s="37" t="n">
        <v>94000</v>
      </c>
      <c r="D5" s="37" t="n">
        <v>88000</v>
      </c>
      <c r="E5" s="37" t="n">
        <v>101000</v>
      </c>
      <c r="F5" s="37" t="n">
        <v>92000</v>
      </c>
      <c r="G5" s="37" t="n">
        <v>108000</v>
      </c>
    </row>
    <row r="6" customFormat="false" ht="15" hidden="false" customHeight="true" outlineLevel="0" collapsed="false">
      <c r="A6" s="25" t="s">
        <v>313</v>
      </c>
      <c r="B6" s="25" t="s">
        <v>251</v>
      </c>
      <c r="C6" s="37" t="n">
        <v>7750</v>
      </c>
      <c r="D6" s="37" t="n">
        <v>7250</v>
      </c>
      <c r="E6" s="37" t="n">
        <v>8875</v>
      </c>
      <c r="F6" s="37" t="n">
        <v>6750</v>
      </c>
      <c r="G6" s="37" t="n">
        <v>6190</v>
      </c>
    </row>
    <row r="7" customFormat="false" ht="15" hidden="false" customHeight="true" outlineLevel="0" collapsed="false">
      <c r="A7" s="25" t="s">
        <v>314</v>
      </c>
      <c r="B7" s="25" t="s">
        <v>312</v>
      </c>
      <c r="C7" s="37" t="n">
        <v>80</v>
      </c>
      <c r="D7" s="37" t="n">
        <v>80</v>
      </c>
      <c r="E7" s="37" t="n">
        <v>80</v>
      </c>
      <c r="F7" s="37" t="n">
        <v>80</v>
      </c>
      <c r="G7" s="37" t="n">
        <v>80</v>
      </c>
    </row>
    <row r="8" customFormat="false" ht="15" hidden="false" customHeight="true" outlineLevel="0" collapsed="false">
      <c r="A8" s="25" t="s">
        <v>315</v>
      </c>
      <c r="B8" s="25" t="s">
        <v>316</v>
      </c>
      <c r="C8" s="37" t="n">
        <v>1180</v>
      </c>
      <c r="D8" s="37" t="n">
        <v>1205</v>
      </c>
      <c r="E8" s="37" t="n">
        <v>1235</v>
      </c>
      <c r="F8" s="37" t="n">
        <v>1262</v>
      </c>
      <c r="G8" s="37" t="n">
        <v>1288</v>
      </c>
    </row>
    <row r="9" customFormat="false" ht="15" hidden="false" customHeight="true" outlineLevel="0" collapsed="false">
      <c r="A9" s="25" t="s">
        <v>317</v>
      </c>
      <c r="B9" s="25" t="s">
        <v>318</v>
      </c>
      <c r="C9" s="37" t="n">
        <v>4200</v>
      </c>
      <c r="D9" s="37" t="n">
        <v>4350</v>
      </c>
      <c r="E9" s="37" t="n">
        <v>4480</v>
      </c>
      <c r="F9" s="37" t="n">
        <v>4620</v>
      </c>
      <c r="G9" s="37" t="n">
        <v>4810</v>
      </c>
    </row>
    <row r="10" customFormat="false" ht="15" hidden="false" customHeight="true" outlineLevel="0" collapsed="false">
      <c r="A10" s="25" t="s">
        <v>319</v>
      </c>
      <c r="B10" s="25" t="s">
        <v>251</v>
      </c>
      <c r="C10" s="37" t="n">
        <v>142</v>
      </c>
      <c r="D10" s="37" t="n">
        <v>148</v>
      </c>
      <c r="E10" s="37" t="n">
        <v>153</v>
      </c>
      <c r="F10" s="37" t="n">
        <v>161</v>
      </c>
      <c r="G10" s="37" t="n">
        <v>168</v>
      </c>
    </row>
    <row r="11" customFormat="false" ht="15" hidden="false" customHeight="true" outlineLevel="0" collapsed="false">
      <c r="A11" s="25" t="s">
        <v>320</v>
      </c>
      <c r="B11" s="25" t="s">
        <v>321</v>
      </c>
      <c r="C11" s="37" t="n">
        <v>880</v>
      </c>
      <c r="D11" s="37" t="n">
        <v>910</v>
      </c>
      <c r="E11" s="37" t="n">
        <v>945</v>
      </c>
      <c r="F11" s="37" t="n">
        <v>1010</v>
      </c>
      <c r="G11" s="37" t="n">
        <v>1080</v>
      </c>
    </row>
    <row r="12" customFormat="false" ht="15" hidden="false" customHeight="true" outlineLevel="0" collapsed="false">
      <c r="A12" s="25" t="s">
        <v>322</v>
      </c>
      <c r="B12" s="25" t="s">
        <v>321</v>
      </c>
      <c r="C12" s="45" t="n">
        <v>28.5</v>
      </c>
      <c r="D12" s="45" t="n">
        <v>29.2</v>
      </c>
      <c r="E12" s="45" t="n">
        <v>29.8</v>
      </c>
      <c r="F12" s="37" t="n">
        <v>31</v>
      </c>
      <c r="G12" s="45" t="n">
        <v>32.1</v>
      </c>
    </row>
    <row r="13" customFormat="false" ht="15" hidden="false" customHeight="true" outlineLevel="0" collapsed="false">
      <c r="A13" s="25" t="s">
        <v>323</v>
      </c>
      <c r="B13" s="25" t="s">
        <v>324</v>
      </c>
      <c r="C13" s="37" t="n">
        <v>112</v>
      </c>
      <c r="D13" s="37" t="n">
        <v>113</v>
      </c>
      <c r="E13" s="37" t="n">
        <v>111</v>
      </c>
      <c r="F13" s="37" t="n">
        <v>114</v>
      </c>
      <c r="G13" s="37" t="n">
        <v>116</v>
      </c>
    </row>
    <row r="14" customFormat="false" ht="15" hidden="false" customHeight="true" outlineLevel="0" collapsed="false">
      <c r="A14" s="25" t="s">
        <v>325</v>
      </c>
      <c r="B14" s="25" t="s">
        <v>251</v>
      </c>
      <c r="C14" s="37" t="n">
        <v>4</v>
      </c>
      <c r="D14" s="37" t="n">
        <v>5</v>
      </c>
      <c r="E14" s="37" t="n">
        <v>3</v>
      </c>
      <c r="F14" s="37" t="n">
        <v>6</v>
      </c>
      <c r="G14" s="37" t="n">
        <v>7</v>
      </c>
    </row>
    <row r="15" customFormat="false" ht="15" hidden="false" customHeight="true" outlineLevel="0" collapsed="false">
      <c r="A15" s="25" t="s">
        <v>326</v>
      </c>
      <c r="B15" s="25" t="s">
        <v>251</v>
      </c>
      <c r="C15" s="37" t="n">
        <v>218</v>
      </c>
      <c r="D15" s="37" t="n">
        <v>221</v>
      </c>
      <c r="E15" s="37" t="n">
        <v>223</v>
      </c>
      <c r="F15" s="37" t="n">
        <v>228</v>
      </c>
      <c r="G15" s="37" t="n">
        <v>232</v>
      </c>
    </row>
    <row r="16" customFormat="false" ht="15" hidden="false" customHeight="true" outlineLevel="0" collapsed="false">
      <c r="A16" s="25" t="s">
        <v>327</v>
      </c>
      <c r="B16" s="25" t="s">
        <v>251</v>
      </c>
      <c r="C16" s="37" t="n">
        <v>64</v>
      </c>
      <c r="D16" s="37" t="n">
        <v>65</v>
      </c>
      <c r="E16" s="37" t="n">
        <v>65</v>
      </c>
      <c r="F16" s="37" t="n">
        <v>66</v>
      </c>
      <c r="G16" s="37" t="n">
        <v>67</v>
      </c>
    </row>
    <row r="17" customFormat="false" ht="15" hidden="false" customHeight="true" outlineLevel="0" collapsed="false">
      <c r="A17" s="25" t="s">
        <v>328</v>
      </c>
      <c r="B17" s="25" t="s">
        <v>251</v>
      </c>
      <c r="C17" s="37" t="n">
        <v>102</v>
      </c>
      <c r="D17" s="37" t="n">
        <v>104</v>
      </c>
      <c r="E17" s="37" t="n">
        <v>105</v>
      </c>
      <c r="F17" s="37" t="n">
        <v>108</v>
      </c>
      <c r="G17" s="37" t="n">
        <v>110</v>
      </c>
    </row>
    <row r="18" customFormat="false" ht="15" hidden="false" customHeight="true" outlineLevel="0" collapsed="false">
      <c r="A18" s="25" t="s">
        <v>329</v>
      </c>
      <c r="B18" s="25" t="s">
        <v>251</v>
      </c>
      <c r="C18" s="37" t="n">
        <v>52</v>
      </c>
      <c r="D18" s="37" t="n">
        <v>52</v>
      </c>
      <c r="E18" s="37" t="n">
        <v>53</v>
      </c>
      <c r="F18" s="37" t="n">
        <v>54</v>
      </c>
      <c r="G18" s="37" t="n">
        <v>55</v>
      </c>
    </row>
    <row r="19" customFormat="false" ht="15" hidden="false" customHeight="true" outlineLevel="0" collapsed="false">
      <c r="A19" s="25" t="s">
        <v>330</v>
      </c>
      <c r="B19" s="25" t="s">
        <v>312</v>
      </c>
      <c r="C19" s="37" t="n">
        <v>38</v>
      </c>
      <c r="D19" s="37" t="n">
        <v>41</v>
      </c>
      <c r="E19" s="37" t="n">
        <v>36</v>
      </c>
      <c r="F19" s="37" t="n">
        <v>44</v>
      </c>
      <c r="G19" s="37" t="n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8"/>
    <col collapsed="false" customWidth="true" hidden="false" outlineLevel="0" max="7" min="4" style="1" width="10"/>
    <col collapsed="false" customWidth="true" hidden="false" outlineLevel="0" max="8" min="8" style="1" width="52"/>
    <col collapsed="false" customWidth="true" hidden="false" outlineLevel="0" max="9" min="9" style="1" width="12"/>
    <col collapsed="false" customWidth="true" hidden="false" outlineLevel="0" max="15" min="10" style="1" width="10"/>
  </cols>
  <sheetData>
    <row r="1" customFormat="false" ht="17.25" hidden="false" customHeight="true" outlineLevel="0" collapsed="false">
      <c r="A1" s="6" t="s">
        <v>331</v>
      </c>
    </row>
    <row r="2" customFormat="false" ht="15" hidden="false" customHeight="true" outlineLevel="0" collapsed="false">
      <c r="A2" s="3" t="s">
        <v>332</v>
      </c>
    </row>
    <row r="4" customFormat="false" ht="15" hidden="false" customHeight="true" outlineLevel="0" collapsed="false">
      <c r="A4" s="44" t="s">
        <v>333</v>
      </c>
      <c r="B4" s="44" t="s">
        <v>334</v>
      </c>
      <c r="C4" s="44" t="s">
        <v>175</v>
      </c>
      <c r="D4" s="44" t="s">
        <v>283</v>
      </c>
      <c r="E4" s="44" t="s">
        <v>284</v>
      </c>
      <c r="F4" s="44" t="s">
        <v>335</v>
      </c>
      <c r="G4" s="44" t="s">
        <v>336</v>
      </c>
      <c r="H4" s="44" t="s">
        <v>337</v>
      </c>
      <c r="I4" s="44" t="s">
        <v>338</v>
      </c>
    </row>
    <row r="5" customFormat="false" ht="15" hidden="false" customHeight="true" outlineLevel="0" collapsed="false">
      <c r="A5" s="25" t="s">
        <v>339</v>
      </c>
      <c r="B5" s="25" t="s">
        <v>340</v>
      </c>
      <c r="C5" s="25" t="s">
        <v>163</v>
      </c>
      <c r="D5" s="25" t="s">
        <v>292</v>
      </c>
      <c r="E5" s="25" t="s">
        <v>297</v>
      </c>
      <c r="F5" s="25" t="s">
        <v>341</v>
      </c>
      <c r="G5" s="25" t="s">
        <v>342</v>
      </c>
      <c r="H5" s="25" t="s">
        <v>343</v>
      </c>
      <c r="I5" s="37" t="n">
        <v>255</v>
      </c>
    </row>
    <row r="6" customFormat="false" ht="15" hidden="false" customHeight="true" outlineLevel="0" collapsed="false">
      <c r="A6" s="25" t="s">
        <v>344</v>
      </c>
      <c r="B6" s="25" t="s">
        <v>345</v>
      </c>
      <c r="C6" s="25" t="s">
        <v>163</v>
      </c>
      <c r="D6" s="25" t="s">
        <v>292</v>
      </c>
      <c r="E6" s="25" t="s">
        <v>297</v>
      </c>
      <c r="F6" s="25" t="s">
        <v>346</v>
      </c>
      <c r="G6" s="25" t="s">
        <v>347</v>
      </c>
      <c r="H6" s="25" t="s">
        <v>348</v>
      </c>
      <c r="I6" s="37" t="n">
        <v>95</v>
      </c>
    </row>
    <row r="7" customFormat="false" ht="15" hidden="false" customHeight="true" outlineLevel="0" collapsed="false">
      <c r="A7" s="25" t="s">
        <v>349</v>
      </c>
      <c r="B7" s="25" t="s">
        <v>350</v>
      </c>
      <c r="C7" s="25" t="s">
        <v>163</v>
      </c>
      <c r="D7" s="25" t="s">
        <v>292</v>
      </c>
      <c r="E7" s="25" t="s">
        <v>297</v>
      </c>
      <c r="F7" s="25" t="s">
        <v>351</v>
      </c>
      <c r="G7" s="25" t="s">
        <v>352</v>
      </c>
      <c r="H7" s="25" t="s">
        <v>353</v>
      </c>
      <c r="I7" s="37" t="n">
        <v>28</v>
      </c>
    </row>
    <row r="8" customFormat="false" ht="15" hidden="false" customHeight="true" outlineLevel="0" collapsed="false">
      <c r="A8" s="25" t="s">
        <v>354</v>
      </c>
      <c r="B8" s="25" t="s">
        <v>355</v>
      </c>
      <c r="C8" s="25" t="s">
        <v>163</v>
      </c>
      <c r="D8" s="25" t="s">
        <v>292</v>
      </c>
      <c r="E8" s="25" t="s">
        <v>297</v>
      </c>
      <c r="F8" s="25" t="s">
        <v>356</v>
      </c>
      <c r="G8" s="25" t="s">
        <v>357</v>
      </c>
      <c r="H8" s="25" t="s">
        <v>358</v>
      </c>
      <c r="I8" s="37" t="n">
        <v>22</v>
      </c>
    </row>
    <row r="9" customFormat="false" ht="15" hidden="false" customHeight="true" outlineLevel="0" collapsed="false">
      <c r="A9" s="25" t="s">
        <v>359</v>
      </c>
      <c r="B9" s="25" t="s">
        <v>360</v>
      </c>
      <c r="C9" s="25" t="s">
        <v>163</v>
      </c>
      <c r="D9" s="25" t="s">
        <v>292</v>
      </c>
      <c r="E9" s="25" t="s">
        <v>297</v>
      </c>
      <c r="F9" s="25" t="s">
        <v>361</v>
      </c>
      <c r="G9" s="25" t="s">
        <v>362</v>
      </c>
      <c r="H9" s="25" t="s">
        <v>363</v>
      </c>
      <c r="I9" s="37" t="n">
        <v>30</v>
      </c>
    </row>
    <row r="10" customFormat="false" ht="15" hidden="false" customHeight="true" outlineLevel="0" collapsed="false">
      <c r="A10" s="25" t="s">
        <v>364</v>
      </c>
      <c r="B10" s="25" t="s">
        <v>365</v>
      </c>
      <c r="C10" s="25" t="s">
        <v>163</v>
      </c>
      <c r="D10" s="25" t="s">
        <v>292</v>
      </c>
      <c r="E10" s="25" t="s">
        <v>297</v>
      </c>
      <c r="F10" s="25" t="s">
        <v>341</v>
      </c>
      <c r="G10" s="25" t="s">
        <v>366</v>
      </c>
      <c r="H10" s="25" t="s">
        <v>367</v>
      </c>
      <c r="I10" s="37" t="n">
        <v>25</v>
      </c>
    </row>
    <row r="11" customFormat="false" ht="15" hidden="false" customHeight="true" outlineLevel="0" collapsed="false">
      <c r="A11" s="25" t="s">
        <v>368</v>
      </c>
      <c r="B11" s="25" t="s">
        <v>369</v>
      </c>
      <c r="C11" s="25" t="s">
        <v>163</v>
      </c>
      <c r="D11" s="25" t="s">
        <v>292</v>
      </c>
      <c r="E11" s="25" t="s">
        <v>297</v>
      </c>
      <c r="F11" s="25" t="s">
        <v>341</v>
      </c>
      <c r="G11" s="25" t="s">
        <v>370</v>
      </c>
      <c r="H11" s="25" t="s">
        <v>371</v>
      </c>
      <c r="I11" s="37" t="n">
        <v>25</v>
      </c>
    </row>
    <row r="12" customFormat="false" ht="15" hidden="false" customHeight="true" outlineLevel="0" collapsed="false">
      <c r="A12" s="25" t="s">
        <v>372</v>
      </c>
      <c r="B12" s="25" t="s">
        <v>373</v>
      </c>
      <c r="C12" s="25" t="s">
        <v>163</v>
      </c>
      <c r="D12" s="25" t="s">
        <v>292</v>
      </c>
      <c r="E12" s="25" t="s">
        <v>297</v>
      </c>
      <c r="F12" s="25" t="s">
        <v>361</v>
      </c>
      <c r="G12" s="25" t="s">
        <v>362</v>
      </c>
      <c r="H12" s="25" t="s">
        <v>363</v>
      </c>
      <c r="I12" s="37" t="n">
        <v>30</v>
      </c>
    </row>
    <row r="13" customFormat="false" ht="15" hidden="false" customHeight="true" outlineLevel="0" collapsed="false">
      <c r="A13" s="25" t="s">
        <v>374</v>
      </c>
      <c r="B13" s="25" t="s">
        <v>375</v>
      </c>
      <c r="C13" s="25" t="s">
        <v>165</v>
      </c>
      <c r="D13" s="25" t="s">
        <v>292</v>
      </c>
      <c r="E13" s="25" t="s">
        <v>297</v>
      </c>
      <c r="F13" s="25" t="s">
        <v>376</v>
      </c>
      <c r="G13" s="25" t="s">
        <v>377</v>
      </c>
      <c r="H13" s="25" t="s">
        <v>378</v>
      </c>
      <c r="I13" s="37" t="n">
        <v>15</v>
      </c>
    </row>
    <row r="14" customFormat="false" ht="15" hidden="false" customHeight="true" outlineLevel="0" collapsed="false">
      <c r="A14" s="25" t="s">
        <v>379</v>
      </c>
      <c r="B14" s="25" t="s">
        <v>380</v>
      </c>
      <c r="C14" s="25" t="s">
        <v>165</v>
      </c>
      <c r="D14" s="25" t="s">
        <v>292</v>
      </c>
      <c r="E14" s="25" t="s">
        <v>297</v>
      </c>
      <c r="F14" s="25" t="s">
        <v>376</v>
      </c>
      <c r="G14" s="25" t="s">
        <v>381</v>
      </c>
      <c r="H14" s="25" t="s">
        <v>382</v>
      </c>
      <c r="I14" s="37" t="n">
        <v>10</v>
      </c>
    </row>
    <row r="15" customFormat="false" ht="15" hidden="false" customHeight="true" outlineLevel="0" collapsed="false">
      <c r="A15" s="25" t="s">
        <v>383</v>
      </c>
      <c r="B15" s="25" t="s">
        <v>384</v>
      </c>
      <c r="C15" s="25" t="s">
        <v>165</v>
      </c>
      <c r="D15" s="25" t="s">
        <v>292</v>
      </c>
      <c r="E15" s="25" t="s">
        <v>297</v>
      </c>
      <c r="F15" s="25" t="s">
        <v>385</v>
      </c>
      <c r="G15" s="25" t="s">
        <v>386</v>
      </c>
      <c r="H15" s="25" t="s">
        <v>387</v>
      </c>
      <c r="I15" s="37" t="n">
        <v>150</v>
      </c>
    </row>
    <row r="16" customFormat="false" ht="15" hidden="false" customHeight="true" outlineLevel="0" collapsed="false">
      <c r="A16" s="25" t="s">
        <v>388</v>
      </c>
      <c r="B16" s="25" t="s">
        <v>389</v>
      </c>
      <c r="C16" s="25" t="s">
        <v>156</v>
      </c>
      <c r="D16" s="25" t="s">
        <v>243</v>
      </c>
      <c r="E16" s="25" t="s">
        <v>291</v>
      </c>
      <c r="F16" s="25" t="s">
        <v>390</v>
      </c>
      <c r="G16" s="25" t="s">
        <v>391</v>
      </c>
      <c r="H16" s="25" t="s">
        <v>392</v>
      </c>
      <c r="I16" s="37" t="n">
        <v>1178</v>
      </c>
    </row>
    <row r="17" customFormat="false" ht="15" hidden="false" customHeight="true" outlineLevel="0" collapsed="false">
      <c r="A17" s="25" t="s">
        <v>388</v>
      </c>
      <c r="B17" s="25" t="s">
        <v>393</v>
      </c>
      <c r="C17" s="25" t="s">
        <v>156</v>
      </c>
      <c r="D17" s="25" t="s">
        <v>243</v>
      </c>
      <c r="E17" s="25" t="s">
        <v>291</v>
      </c>
      <c r="F17" s="25" t="s">
        <v>390</v>
      </c>
      <c r="G17" s="25" t="s">
        <v>394</v>
      </c>
      <c r="H17" s="25" t="s">
        <v>395</v>
      </c>
      <c r="I17" s="37" t="n">
        <v>70</v>
      </c>
    </row>
    <row r="18" customFormat="false" ht="15" hidden="false" customHeight="true" outlineLevel="0" collapsed="false">
      <c r="A18" s="25" t="s">
        <v>396</v>
      </c>
      <c r="B18" s="25" t="s">
        <v>397</v>
      </c>
      <c r="C18" s="25" t="s">
        <v>156</v>
      </c>
      <c r="D18" s="25" t="s">
        <v>243</v>
      </c>
      <c r="E18" s="25" t="s">
        <v>291</v>
      </c>
      <c r="F18" s="25" t="s">
        <v>398</v>
      </c>
      <c r="G18" s="25" t="s">
        <v>399</v>
      </c>
      <c r="H18" s="25" t="s">
        <v>400</v>
      </c>
      <c r="I18" s="37" t="n">
        <v>132</v>
      </c>
    </row>
    <row r="19" customFormat="false" ht="15" hidden="false" customHeight="true" outlineLevel="0" collapsed="false">
      <c r="A19" s="25" t="s">
        <v>401</v>
      </c>
      <c r="B19" s="25" t="s">
        <v>402</v>
      </c>
      <c r="C19" s="25" t="s">
        <v>166</v>
      </c>
      <c r="D19" s="25" t="s">
        <v>292</v>
      </c>
      <c r="E19" s="25" t="s">
        <v>297</v>
      </c>
      <c r="F19" s="25" t="s">
        <v>403</v>
      </c>
      <c r="G19" s="25" t="s">
        <v>404</v>
      </c>
      <c r="H19" s="25" t="s">
        <v>405</v>
      </c>
      <c r="I19" s="37" t="n">
        <v>70</v>
      </c>
    </row>
    <row r="20" customFormat="false" ht="15" hidden="false" customHeight="true" outlineLevel="0" collapsed="false">
      <c r="A20" s="25" t="s">
        <v>388</v>
      </c>
      <c r="B20" s="25" t="s">
        <v>406</v>
      </c>
      <c r="C20" s="25" t="s">
        <v>166</v>
      </c>
      <c r="D20" s="25" t="s">
        <v>292</v>
      </c>
      <c r="E20" s="25" t="s">
        <v>297</v>
      </c>
      <c r="F20" s="25" t="s">
        <v>407</v>
      </c>
      <c r="G20" s="25" t="s">
        <v>408</v>
      </c>
      <c r="H20" s="25" t="s">
        <v>409</v>
      </c>
      <c r="I20" s="37" t="n">
        <v>40</v>
      </c>
    </row>
    <row r="21" customFormat="false" ht="15" hidden="false" customHeight="true" outlineLevel="0" collapsed="false">
      <c r="A21" s="25" t="s">
        <v>410</v>
      </c>
      <c r="B21" s="25" t="s">
        <v>411</v>
      </c>
      <c r="C21" s="25" t="s">
        <v>166</v>
      </c>
      <c r="D21" s="25" t="s">
        <v>292</v>
      </c>
      <c r="E21" s="25" t="s">
        <v>297</v>
      </c>
      <c r="F21" s="25" t="s">
        <v>412</v>
      </c>
      <c r="G21" s="25" t="s">
        <v>413</v>
      </c>
      <c r="H21" s="25" t="s">
        <v>414</v>
      </c>
      <c r="I21" s="37" t="n">
        <v>30</v>
      </c>
    </row>
    <row r="22" customFormat="false" ht="15" hidden="false" customHeight="true" outlineLevel="0" collapsed="false">
      <c r="A22" s="25" t="s">
        <v>415</v>
      </c>
      <c r="B22" s="25" t="s">
        <v>416</v>
      </c>
      <c r="C22" s="25" t="s">
        <v>166</v>
      </c>
      <c r="D22" s="25" t="s">
        <v>292</v>
      </c>
      <c r="E22" s="25" t="s">
        <v>297</v>
      </c>
      <c r="F22" s="25" t="s">
        <v>417</v>
      </c>
      <c r="G22" s="25" t="s">
        <v>418</v>
      </c>
      <c r="H22" s="25" t="s">
        <v>419</v>
      </c>
      <c r="I22" s="37" t="n">
        <v>25</v>
      </c>
    </row>
    <row r="23" customFormat="false" ht="15" hidden="false" customHeight="true" outlineLevel="0" collapsed="false">
      <c r="A23" s="25" t="s">
        <v>420</v>
      </c>
      <c r="B23" s="25" t="s">
        <v>421</v>
      </c>
      <c r="C23" s="25" t="s">
        <v>167</v>
      </c>
      <c r="D23" s="25" t="s">
        <v>292</v>
      </c>
      <c r="E23" s="25" t="s">
        <v>297</v>
      </c>
      <c r="F23" s="25" t="s">
        <v>422</v>
      </c>
      <c r="G23" s="25" t="s">
        <v>423</v>
      </c>
      <c r="H23" s="25" t="s">
        <v>424</v>
      </c>
      <c r="I23" s="37" t="n">
        <v>18</v>
      </c>
    </row>
    <row r="24" customFormat="false" ht="15" hidden="false" customHeight="true" outlineLevel="0" collapsed="false">
      <c r="A24" s="25" t="s">
        <v>420</v>
      </c>
      <c r="B24" s="25" t="s">
        <v>425</v>
      </c>
      <c r="C24" s="25" t="s">
        <v>167</v>
      </c>
      <c r="D24" s="25" t="s">
        <v>292</v>
      </c>
      <c r="E24" s="25" t="s">
        <v>297</v>
      </c>
      <c r="F24" s="25" t="s">
        <v>426</v>
      </c>
      <c r="G24" s="25" t="s">
        <v>427</v>
      </c>
      <c r="H24" s="25" t="s">
        <v>428</v>
      </c>
      <c r="I24" s="37" t="n">
        <v>12</v>
      </c>
    </row>
    <row r="25" customFormat="false" ht="15" hidden="false" customHeight="true" outlineLevel="0" collapsed="false">
      <c r="A25" s="25" t="s">
        <v>420</v>
      </c>
      <c r="B25" s="25" t="s">
        <v>429</v>
      </c>
      <c r="C25" s="25" t="s">
        <v>167</v>
      </c>
      <c r="D25" s="25" t="s">
        <v>292</v>
      </c>
      <c r="E25" s="25" t="s">
        <v>297</v>
      </c>
      <c r="F25" s="25" t="s">
        <v>430</v>
      </c>
      <c r="G25" s="25" t="s">
        <v>431</v>
      </c>
      <c r="H25" s="25" t="s">
        <v>432</v>
      </c>
      <c r="I25" s="37" t="n">
        <v>8</v>
      </c>
    </row>
    <row r="26" customFormat="false" ht="15" hidden="false" customHeight="true" outlineLevel="0" collapsed="false">
      <c r="A26" s="25" t="s">
        <v>420</v>
      </c>
      <c r="B26" s="25" t="s">
        <v>433</v>
      </c>
      <c r="C26" s="25" t="s">
        <v>167</v>
      </c>
      <c r="D26" s="25" t="s">
        <v>292</v>
      </c>
      <c r="E26" s="25" t="s">
        <v>297</v>
      </c>
      <c r="F26" s="25" t="s">
        <v>434</v>
      </c>
      <c r="G26" s="25" t="s">
        <v>435</v>
      </c>
      <c r="H26" s="25" t="s">
        <v>436</v>
      </c>
      <c r="I26" s="37" t="n">
        <v>34</v>
      </c>
    </row>
    <row r="27" customFormat="false" ht="15" hidden="false" customHeight="true" outlineLevel="0" collapsed="false">
      <c r="A27" s="25" t="s">
        <v>420</v>
      </c>
      <c r="B27" s="25" t="s">
        <v>437</v>
      </c>
      <c r="C27" s="25" t="s">
        <v>167</v>
      </c>
      <c r="D27" s="25" t="s">
        <v>292</v>
      </c>
      <c r="E27" s="25" t="s">
        <v>297</v>
      </c>
      <c r="F27" s="25" t="s">
        <v>438</v>
      </c>
      <c r="G27" s="25" t="s">
        <v>439</v>
      </c>
      <c r="H27" s="25" t="s">
        <v>440</v>
      </c>
      <c r="I27" s="37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2026-08-21T20:36:39Z</dcterms:created>
  <dc:creator>openpyxl</dc:creator>
  <dc:description/>
  <dc:language>en-US</dc:language>
  <cp:lastModifiedBy/>
  <dcterms:modified xsi:type="dcterms:W3CDTF">2026-08-21T20:37:04Z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